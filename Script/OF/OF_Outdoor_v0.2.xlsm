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Johnx\R_and_D\OF\"/>
    </mc:Choice>
  </mc:AlternateContent>
  <bookViews>
    <workbookView xWindow="0" yWindow="0" windowWidth="15270" windowHeight="9330"/>
  </bookViews>
  <sheets>
    <sheet name="Sheet1" sheetId="1" r:id="rId1"/>
    <sheet name="blockMeshDict" sheetId="2" r:id="rId2"/>
    <sheet name="surfaceFeatureExtractDict" sheetId="4" r:id="rId3"/>
    <sheet name="snappyHexMeshDict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" i="3"/>
  <c r="C21" i="1" l="1"/>
  <c r="C22" i="1"/>
  <c r="C23" i="1"/>
  <c r="C20" i="1"/>
  <c r="C19" i="1"/>
  <c r="G28" i="1" l="1"/>
  <c r="G30" i="1" s="1"/>
  <c r="G27" i="1"/>
  <c r="G35" i="1" l="1"/>
  <c r="G26" i="1"/>
  <c r="G31" i="1" s="1"/>
  <c r="E28" i="1"/>
  <c r="E27" i="1"/>
  <c r="E29" i="1" s="1"/>
  <c r="C28" i="1"/>
  <c r="C27" i="1"/>
  <c r="C29" i="1" s="1"/>
  <c r="C30" i="1" l="1"/>
  <c r="C34" i="1" s="1"/>
  <c r="C36" i="1" s="1"/>
  <c r="E30" i="1"/>
  <c r="G32" i="1"/>
  <c r="E26" i="1" l="1"/>
  <c r="E34" i="1"/>
  <c r="E36" i="1" s="1"/>
  <c r="C26" i="1"/>
  <c r="C32" i="1" l="1"/>
  <c r="C25" i="1"/>
  <c r="C31" i="1"/>
  <c r="C33" i="1" s="1"/>
  <c r="E32" i="1"/>
  <c r="E31" i="1"/>
  <c r="E33" i="1" s="1"/>
</calcChain>
</file>

<file path=xl/sharedStrings.xml><?xml version="1.0" encoding="utf-8"?>
<sst xmlns="http://schemas.openxmlformats.org/spreadsheetml/2006/main" count="324" uniqueCount="212">
  <si>
    <t>Wind Tunnel</t>
  </si>
  <si>
    <t>Model Center</t>
  </si>
  <si>
    <t>Grid Growth Rate X</t>
  </si>
  <si>
    <t>Grid Growth Rate Y</t>
  </si>
  <si>
    <t>Grid Growth Rate Z</t>
  </si>
  <si>
    <t>output</t>
  </si>
  <si>
    <t>m</t>
  </si>
  <si>
    <t>H_Max</t>
  </si>
  <si>
    <t>WT_Len_X</t>
  </si>
  <si>
    <t>WT_Len_Y</t>
  </si>
  <si>
    <t>WT_Len_Z</t>
  </si>
  <si>
    <t>Box_Len_X</t>
  </si>
  <si>
    <t>Box_Len_Y</t>
  </si>
  <si>
    <t>Box_Len_Z</t>
  </si>
  <si>
    <t>Box_Len_Dx</t>
  </si>
  <si>
    <t>Box_Len_Dy</t>
  </si>
  <si>
    <t>Box_Len_Dz</t>
  </si>
  <si>
    <t>WT_X_Max</t>
  </si>
  <si>
    <t>WT_Y_Max</t>
  </si>
  <si>
    <t>WT_Z_Max</t>
  </si>
  <si>
    <t>WT_X_Min</t>
  </si>
  <si>
    <t>WT_Y_Min</t>
  </si>
  <si>
    <t>WT_Z_Min</t>
  </si>
  <si>
    <t>WT_NCells_X_P1</t>
  </si>
  <si>
    <t>WT_NCells_X</t>
  </si>
  <si>
    <t>WT_NCells_X_P2</t>
  </si>
  <si>
    <t>WT_NCells_X_P3</t>
  </si>
  <si>
    <t>WT_NCells_Y</t>
  </si>
  <si>
    <t>WT_NCells_Z</t>
  </si>
  <si>
    <t>WT_NCells_Y_P1</t>
  </si>
  <si>
    <t>WT_NCells_Y_P2</t>
  </si>
  <si>
    <t>WT_NCells_Y_P3</t>
  </si>
  <si>
    <t>WT_NCells_Z_P1</t>
  </si>
  <si>
    <t>WT_NCells_Z_P2</t>
  </si>
  <si>
    <t>WT_NCells_Z_P3</t>
  </si>
  <si>
    <t>WT_Len_X_P1</t>
  </si>
  <si>
    <t>WT_Len_X_P2</t>
  </si>
  <si>
    <t>WT_Len_X_P3</t>
  </si>
  <si>
    <t>WT_Len_Y_P1</t>
  </si>
  <si>
    <t>WT_Len_Y_P2</t>
  </si>
  <si>
    <t>WT_Len_Y_P3</t>
  </si>
  <si>
    <t>WT_Len_Z_P1</t>
  </si>
  <si>
    <t>WT_Len_Z_P2</t>
  </si>
  <si>
    <t>WT_Len_Z_P3</t>
  </si>
  <si>
    <t>WT_GER_X_1</t>
  </si>
  <si>
    <t>WT_GER_X_2</t>
  </si>
  <si>
    <t>WT_GER_X_3</t>
  </si>
  <si>
    <t>WT_GER_Y_1</t>
  </si>
  <si>
    <t>WT_GER_Y_2</t>
  </si>
  <si>
    <t>WT_GER_Y_3</t>
  </si>
  <si>
    <t>WT_GER_Z_1</t>
  </si>
  <si>
    <t>WT_GER_Z_2</t>
  </si>
  <si>
    <t>WT_GER_Z_3</t>
  </si>
  <si>
    <t>Tmp_Ncells_X_P1</t>
  </si>
  <si>
    <t>Working Folder</t>
    <phoneticPr fontId="1" type="noConversion"/>
  </si>
  <si>
    <t>WT_Ncells</t>
    <phoneticPr fontId="1" type="noConversion"/>
  </si>
  <si>
    <t>FoamFile</t>
  </si>
  <si>
    <t>{</t>
  </si>
  <si>
    <t xml:space="preserve">    version     2.0;</t>
  </si>
  <si>
    <t xml:space="preserve">    format      ascii;</t>
  </si>
  <si>
    <t xml:space="preserve">    class       dictionary;</t>
  </si>
  <si>
    <t xml:space="preserve">    object      blockMeshDict;</t>
  </si>
  <si>
    <t>}</t>
  </si>
  <si>
    <t>// * * * * * * * * * * * * * * * * * * * * * * * * * * * * * * * * * * * * * //</t>
  </si>
  <si>
    <t>backgroundMesh</t>
  </si>
  <si>
    <t xml:space="preserve">    xMin   -200; // L = 350</t>
  </si>
  <si>
    <t xml:space="preserve">    xMax   800;</t>
  </si>
  <si>
    <t xml:space="preserve">    yMin   -200; // L = 280</t>
  </si>
  <si>
    <t xml:space="preserve">    yMax   800;</t>
  </si>
  <si>
    <t xml:space="preserve">    zMin     0;</t>
  </si>
  <si>
    <t xml:space="preserve">    zMax   400;</t>
  </si>
  <si>
    <t xml:space="preserve">    xCells  60;</t>
  </si>
  <si>
    <t xml:space="preserve">    yCells  60;</t>
  </si>
  <si>
    <t xml:space="preserve">    zCells  20;</t>
  </si>
  <si>
    <t>convertToMeters 1;</t>
  </si>
  <si>
    <t>vertices</t>
  </si>
  <si>
    <t>(</t>
  </si>
  <si>
    <t xml:space="preserve">    ($:backgroundMesh.xMin $:backgroundMesh.yMin $:backgroundMesh.zMin)</t>
  </si>
  <si>
    <t xml:space="preserve">    ($:backgroundMesh.xMax $:backgroundMesh.yMin $:backgroundMesh.zMin)</t>
  </si>
  <si>
    <t xml:space="preserve">    ($:backgroundMesh.xMax $:backgroundMesh.yMax $:backgroundMesh.zMin)</t>
  </si>
  <si>
    <t xml:space="preserve">    ($:backgroundMesh.xMin $:backgroundMesh.yMax $:backgroundMesh.zMin)</t>
  </si>
  <si>
    <t xml:space="preserve">    ($:backgroundMesh.xMin $:backgroundMesh.yMin $:backgroundMesh.zMax)</t>
  </si>
  <si>
    <t xml:space="preserve">    ($:backgroundMesh.xMax $:backgroundMesh.yMin $:backgroundMesh.zMax)</t>
  </si>
  <si>
    <t xml:space="preserve">    ($:backgroundMesh.xMax $:backgroundMesh.yMax $:backgroundMesh.zMax)</t>
  </si>
  <si>
    <t xml:space="preserve">    ($:backgroundMesh.xMin $:backgroundMesh.yMax $:backgroundMesh.zMax)</t>
  </si>
  <si>
    <t>);</t>
  </si>
  <si>
    <t>blocks</t>
  </si>
  <si>
    <t xml:space="preserve">    hex (0 1 2 3 4 5 6 7)</t>
  </si>
  <si>
    <t xml:space="preserve">    (</t>
  </si>
  <si>
    <t xml:space="preserve">        $:backgroundMesh.xCells</t>
  </si>
  <si>
    <t xml:space="preserve">        $:backgroundMesh.yCells</t>
  </si>
  <si>
    <t xml:space="preserve">        $:backgroundMesh.zCells</t>
  </si>
  <si>
    <t xml:space="preserve">    )</t>
  </si>
  <si>
    <t xml:space="preserve">    simpleGrading (</t>
  </si>
  <si>
    <t xml:space="preserve">    ((0.2 0.1 0.5) (0.6 0.8 1) (0.2 0.1 2))</t>
  </si>
  <si>
    <t xml:space="preserve">    ((0.2 0.1 0.5) (0.6 0.8 1) (0.2 0.1 2)) </t>
  </si>
  <si>
    <t xml:space="preserve">    ((0.5 0.8 1) (0.5 0.2 2))</t>
  </si>
  <si>
    <t>edges</t>
  </si>
  <si>
    <t>boundary</t>
  </si>
  <si>
    <t xml:space="preserve">    w</t>
  </si>
  <si>
    <t xml:space="preserve">    {</t>
  </si>
  <si>
    <t xml:space="preserve">        type patch;</t>
  </si>
  <si>
    <t xml:space="preserve">        faces</t>
  </si>
  <si>
    <t xml:space="preserve">        (</t>
  </si>
  <si>
    <t xml:space="preserve">            (0 3 7 4)</t>
  </si>
  <si>
    <t xml:space="preserve">        );</t>
  </si>
  <si>
    <t xml:space="preserve">    }</t>
  </si>
  <si>
    <t xml:space="preserve">    e</t>
  </si>
  <si>
    <t xml:space="preserve">            (1 5 6 2)</t>
  </si>
  <si>
    <t xml:space="preserve">    ground</t>
  </si>
  <si>
    <t xml:space="preserve">        type wall;</t>
  </si>
  <si>
    <t xml:space="preserve">            (0 1 2 3)</t>
  </si>
  <si>
    <t xml:space="preserve">    </t>
  </si>
  <si>
    <t xml:space="preserve">   s</t>
  </si>
  <si>
    <t xml:space="preserve">            (0 4 5 1)</t>
  </si>
  <si>
    <t xml:space="preserve">   n</t>
  </si>
  <si>
    <t xml:space="preserve">            (3 2 6 7)</t>
  </si>
  <si>
    <t xml:space="preserve">    top</t>
  </si>
  <si>
    <t xml:space="preserve">            (4 7 6 5)</t>
  </si>
  <si>
    <t>mergePatchPairs</t>
  </si>
  <si>
    <t>D:\Johnx\R_and_D\OF\testCase</t>
  </si>
  <si>
    <t>Tmp_Ncells_Y_P1</t>
  </si>
  <si>
    <t>Tmp_Ncells_Z_P2</t>
  </si>
  <si>
    <t>SnappyHexMeshDict</t>
  </si>
  <si>
    <t>surfaceFeatureExtractDict</t>
  </si>
  <si>
    <t>Geo STL file</t>
  </si>
  <si>
    <t>Write Obj</t>
  </si>
  <si>
    <t>on</t>
  </si>
  <si>
    <t>off</t>
  </si>
  <si>
    <t>Level</t>
  </si>
  <si>
    <t>Obj Name</t>
  </si>
  <si>
    <t>castellatedMesh</t>
  </si>
  <si>
    <t>snap</t>
  </si>
  <si>
    <t>addLayers</t>
  </si>
  <si>
    <t>State</t>
  </si>
  <si>
    <t>Item</t>
  </si>
  <si>
    <t>resolveFeatureAngle</t>
  </si>
  <si>
    <t>locationInMesh</t>
  </si>
  <si>
    <t>castellatedMeshControls</t>
  </si>
  <si>
    <t>nCellsBetweenLevels</t>
  </si>
  <si>
    <t>Surface Refinement</t>
  </si>
  <si>
    <t>Region Refinement</t>
  </si>
  <si>
    <t>Mode</t>
  </si>
  <si>
    <t>(2 2)</t>
  </si>
  <si>
    <t>inside</t>
  </si>
  <si>
    <t>bldg1</t>
  </si>
  <si>
    <t>bldg2</t>
  </si>
  <si>
    <t>ref1</t>
  </si>
  <si>
    <t>bldg1_obj</t>
  </si>
  <si>
    <t>bldg2_obj</t>
  </si>
  <si>
    <t xml:space="preserve">snapControls  </t>
  </si>
  <si>
    <t xml:space="preserve">{  </t>
  </si>
  <si>
    <t xml:space="preserve">  </t>
  </si>
  <si>
    <t xml:space="preserve">    nSmoothPatch  5;</t>
  </si>
  <si>
    <t xml:space="preserve">    tolerance  5;</t>
  </si>
  <si>
    <t xml:space="preserve">    nSolveIter  100;</t>
  </si>
  <si>
    <t xml:space="preserve">    nRelaxIter  8;</t>
  </si>
  <si>
    <t xml:space="preserve">    nFeatureSnapIter  10;</t>
  </si>
  <si>
    <t xml:space="preserve">    extractFeaturesRefineLevel  true;</t>
  </si>
  <si>
    <t xml:space="preserve">    explicitFeatureSnap  true;</t>
  </si>
  <si>
    <t xml:space="preserve">}  </t>
  </si>
  <si>
    <t xml:space="preserve">addLayersControls  </t>
  </si>
  <si>
    <t xml:space="preserve">    relativeSizes  true;</t>
  </si>
  <si>
    <t xml:space="preserve">    layers{}  </t>
  </si>
  <si>
    <t xml:space="preserve">    expansionRatio  1.1;</t>
  </si>
  <si>
    <t xml:space="preserve">    finalLayerThickness  0.7;</t>
  </si>
  <si>
    <t xml:space="preserve">    minThickness  0.1;</t>
  </si>
  <si>
    <t xml:space="preserve">    nGrow  0;</t>
  </si>
  <si>
    <t xml:space="preserve">    featureAngle  110;</t>
  </si>
  <si>
    <t xml:space="preserve">    nRelaxIter  3;</t>
  </si>
  <si>
    <t xml:space="preserve">    nSmoothSurfaceNormals  1;</t>
  </si>
  <si>
    <t xml:space="preserve">    nSmoothThickness  10;</t>
  </si>
  <si>
    <t xml:space="preserve">    nSmoothNormals  3;</t>
  </si>
  <si>
    <t xml:space="preserve">    maxFaceThicknessRatio  0.5;</t>
  </si>
  <si>
    <t xml:space="preserve">    maxThicknessToMedialRatio  0.3;</t>
  </si>
  <si>
    <t xml:space="preserve">    minMedianAxisAngle  130;</t>
  </si>
  <si>
    <t xml:space="preserve">    nBufferCellsNoExtrude  0;</t>
  </si>
  <si>
    <t xml:space="preserve">    nLayerIter  50;</t>
  </si>
  <si>
    <t xml:space="preserve">    nRelaxedIter  20;</t>
  </si>
  <si>
    <t xml:space="preserve">meshQualityControls  </t>
  </si>
  <si>
    <t xml:space="preserve">    maxNonOrtho  60;</t>
  </si>
  <si>
    <t xml:space="preserve">    maxBoundarySkewness  20;</t>
  </si>
  <si>
    <t xml:space="preserve">    maxInternalSkewness  4;</t>
  </si>
  <si>
    <t xml:space="preserve">    maxConcave  80;</t>
  </si>
  <si>
    <t xml:space="preserve">    minFlatness  0.5;</t>
  </si>
  <si>
    <t xml:space="preserve">    minVol  1e-13;</t>
  </si>
  <si>
    <t xml:space="preserve">    minTetQuality  1e-15;</t>
  </si>
  <si>
    <t xml:space="preserve">    minArea  -1;</t>
  </si>
  <si>
    <t xml:space="preserve">    minTwist  0.02;</t>
  </si>
  <si>
    <t xml:space="preserve">    minDeterminant  0.001;</t>
  </si>
  <si>
    <t xml:space="preserve">    minFaceWeight  0.02;</t>
  </si>
  <si>
    <t xml:space="preserve">    minVolRatio  0.01;</t>
  </si>
  <si>
    <t xml:space="preserve">    minTriangleTwist  -1;</t>
  </si>
  <si>
    <t xml:space="preserve">    nSmoothScale  4;</t>
  </si>
  <si>
    <t xml:space="preserve">    errorReduction  0.75;</t>
  </si>
  <si>
    <t xml:space="preserve">    relaxed  </t>
  </si>
  <si>
    <t xml:space="preserve">    {  </t>
  </si>
  <si>
    <t xml:space="preserve">        maxNonOrtho  75;</t>
  </si>
  <si>
    <t xml:space="preserve">    }  </t>
  </si>
  <si>
    <t>debug  0;</t>
  </si>
  <si>
    <t>mergeTolerance  1E-6;</t>
  </si>
  <si>
    <t xml:space="preserve">FoamFile   </t>
  </si>
  <si>
    <t xml:space="preserve">{   </t>
  </si>
  <si>
    <t xml:space="preserve"> version  4.0;</t>
  </si>
  <si>
    <t xml:space="preserve"> format  ascii;</t>
  </si>
  <si>
    <t xml:space="preserve"> class  dictionary;</t>
  </si>
  <si>
    <t xml:space="preserve"> location system; </t>
  </si>
  <si>
    <t xml:space="preserve"> object  surfaceFeatureExtractDict;</t>
  </si>
  <si>
    <t xml:space="preserve">}   </t>
  </si>
  <si>
    <t xml:space="preserve"> object  snappyHexMeshDict;</t>
  </si>
  <si>
    <t>(3 3)</t>
  </si>
  <si>
    <t>(4 4)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</si>
</sst>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  <charset val="134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7" borderId="1" xfId="0" applyFill="1" applyBorder="1"/>
    <xf numFmtId="0" fontId="0" fillId="5" borderId="1" xfId="0" applyFill="1" applyBorder="1"/>
    <xf numFmtId="0" fontId="0" fillId="0" borderId="0" xfId="0" applyFill="1" applyBorder="1" applyAlignment="1">
      <alignment horizontal="left" vertic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Border="1"/>
    <xf numFmtId="0" fontId="0" fillId="3" borderId="1" xfId="0" applyFill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0</xdr:rowOff>
        </xdr:from>
        <xdr:to>
          <xdr:col>6</xdr:col>
          <xdr:colOff>142875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blockMeshDict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39</xdr:row>
          <xdr:rowOff>180975</xdr:rowOff>
        </xdr:from>
        <xdr:to>
          <xdr:col>7</xdr:col>
          <xdr:colOff>0</xdr:colOff>
          <xdr:row>43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surfaceFeatureExtractDict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48</xdr:row>
          <xdr:rowOff>28575</xdr:rowOff>
        </xdr:from>
        <xdr:to>
          <xdr:col>7</xdr:col>
          <xdr:colOff>9525</xdr:colOff>
          <xdr:row>51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snappyHexMeshDict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48</xdr:row>
          <xdr:rowOff>38100</xdr:rowOff>
        </xdr:from>
        <xdr:to>
          <xdr:col>8</xdr:col>
          <xdr:colOff>1038225</xdr:colOff>
          <xdr:row>51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77"/>
  <sheetViews>
    <sheetView tabSelected="1" topLeftCell="A34" workbookViewId="0">
      <selection activeCell="J44" sqref="J44"/>
    </sheetView>
  </sheetViews>
  <sheetFormatPr defaultRowHeight="15"/>
  <cols>
    <col min="2" max="2" width="21.5703125" customWidth="1"/>
    <col min="3" max="3" width="13.85546875" customWidth="1"/>
    <col min="4" max="4" width="16.140625" bestFit="1" customWidth="1"/>
    <col min="5" max="5" width="16" bestFit="1" customWidth="1"/>
    <col min="6" max="6" width="16.140625" bestFit="1" customWidth="1"/>
    <col min="7" max="7" width="15.85546875" bestFit="1" customWidth="1"/>
    <col min="9" max="9" width="15.85546875" bestFit="1" customWidth="1"/>
  </cols>
  <sheetData>
    <row r="1" spans="2:7">
      <c r="B1" s="1" t="s">
        <v>0</v>
      </c>
    </row>
    <row r="2" spans="2:7">
      <c r="B2" s="6" t="s">
        <v>54</v>
      </c>
      <c r="C2" s="7" t="s">
        <v>120</v>
      </c>
      <c r="D2" s="5"/>
      <c r="E2" s="5"/>
    </row>
    <row r="3" spans="2:7">
      <c r="B3" s="6" t="s">
        <v>1</v>
      </c>
      <c r="C3" s="8">
        <v>0</v>
      </c>
      <c r="D3" s="8">
        <v>0</v>
      </c>
      <c r="E3" s="8">
        <v>0</v>
      </c>
    </row>
    <row r="4" spans="2:7">
      <c r="B4" s="6" t="s">
        <v>7</v>
      </c>
      <c r="C4" s="8">
        <v>100</v>
      </c>
      <c r="D4" s="5" t="s">
        <v>6</v>
      </c>
      <c r="E4" s="5"/>
    </row>
    <row r="5" spans="2:7">
      <c r="B5" s="6" t="s">
        <v>8</v>
      </c>
      <c r="C5" s="9">
        <v>10</v>
      </c>
      <c r="D5" s="5"/>
      <c r="E5" s="5"/>
    </row>
    <row r="6" spans="2:7">
      <c r="B6" s="6" t="s">
        <v>9</v>
      </c>
      <c r="C6" s="9">
        <v>10</v>
      </c>
      <c r="D6" s="5"/>
      <c r="E6" s="5"/>
    </row>
    <row r="7" spans="2:7">
      <c r="B7" s="6" t="s">
        <v>10</v>
      </c>
      <c r="C7" s="9">
        <v>5</v>
      </c>
      <c r="D7" s="5"/>
      <c r="E7" s="5"/>
    </row>
    <row r="8" spans="2:7">
      <c r="B8" s="6" t="s">
        <v>11</v>
      </c>
      <c r="C8" s="9">
        <v>4</v>
      </c>
      <c r="D8" s="5"/>
      <c r="E8" s="5"/>
    </row>
    <row r="9" spans="2:7">
      <c r="B9" s="6" t="s">
        <v>12</v>
      </c>
      <c r="C9" s="9">
        <v>4</v>
      </c>
      <c r="D9" s="5"/>
      <c r="E9" s="5"/>
    </row>
    <row r="10" spans="2:7">
      <c r="B10" s="6" t="s">
        <v>13</v>
      </c>
      <c r="C10" s="9">
        <v>2</v>
      </c>
      <c r="D10" s="5"/>
      <c r="E10" s="5"/>
    </row>
    <row r="11" spans="2:7">
      <c r="B11" s="6" t="s">
        <v>14</v>
      </c>
      <c r="C11" s="9">
        <v>20</v>
      </c>
      <c r="D11" s="5" t="s">
        <v>6</v>
      </c>
      <c r="E11" s="5"/>
    </row>
    <row r="12" spans="2:7">
      <c r="B12" s="6" t="s">
        <v>15</v>
      </c>
      <c r="C12" s="9">
        <v>20</v>
      </c>
      <c r="D12" s="5" t="s">
        <v>6</v>
      </c>
      <c r="E12" s="5"/>
    </row>
    <row r="13" spans="2:7">
      <c r="B13" s="6" t="s">
        <v>16</v>
      </c>
      <c r="C13" s="9">
        <v>20</v>
      </c>
      <c r="D13" s="5" t="s">
        <v>6</v>
      </c>
      <c r="E13" s="5"/>
      <c r="F13" s="3"/>
      <c r="G13" s="3"/>
    </row>
    <row r="14" spans="2:7">
      <c r="B14" s="6" t="s">
        <v>2</v>
      </c>
      <c r="C14" s="9">
        <v>1.1000000000000001</v>
      </c>
      <c r="D14" s="5"/>
      <c r="E14" s="5"/>
      <c r="F14" s="3"/>
      <c r="G14" s="3"/>
    </row>
    <row r="15" spans="2:7">
      <c r="B15" s="6" t="s">
        <v>3</v>
      </c>
      <c r="C15" s="9">
        <v>1.1000000000000001</v>
      </c>
      <c r="D15" s="5"/>
      <c r="E15" s="5"/>
      <c r="F15" s="3"/>
      <c r="G15" s="3"/>
    </row>
    <row r="16" spans="2:7">
      <c r="B16" s="6" t="s">
        <v>4</v>
      </c>
      <c r="C16" s="9">
        <v>1.1000000000000001</v>
      </c>
      <c r="D16" s="5"/>
      <c r="E16" s="5"/>
      <c r="F16" s="3"/>
      <c r="G16" s="3"/>
    </row>
    <row r="17" spans="2:7">
      <c r="B17" s="4"/>
      <c r="C17" s="3"/>
      <c r="D17" s="3"/>
      <c r="E17" s="3"/>
      <c r="F17" s="3"/>
      <c r="G17" s="3"/>
    </row>
    <row r="18" spans="2:7">
      <c r="B18" s="4" t="s">
        <v>5</v>
      </c>
      <c r="C18" s="3"/>
      <c r="D18" s="3"/>
      <c r="E18" s="3"/>
      <c r="F18" s="3"/>
      <c r="G18" s="3"/>
    </row>
    <row r="19" spans="2:7">
      <c r="B19" s="10" t="s">
        <v>17</v>
      </c>
      <c r="C19" s="12">
        <f>C3+C4*C5/2</f>
        <v>500</v>
      </c>
      <c r="D19" s="3"/>
      <c r="E19" s="3"/>
      <c r="F19" s="3"/>
      <c r="G19" s="3"/>
    </row>
    <row r="20" spans="2:7">
      <c r="B20" s="10" t="s">
        <v>18</v>
      </c>
      <c r="C20" s="12">
        <f>D3+C4*C6/2</f>
        <v>500</v>
      </c>
      <c r="D20" s="3"/>
      <c r="E20" s="3"/>
      <c r="F20" s="3"/>
      <c r="G20" s="3"/>
    </row>
    <row r="21" spans="2:7">
      <c r="B21" s="10" t="s">
        <v>19</v>
      </c>
      <c r="C21" s="12">
        <f>C4*C7</f>
        <v>500</v>
      </c>
      <c r="D21" s="3"/>
      <c r="E21" s="3"/>
      <c r="F21" s="3"/>
      <c r="G21" s="3"/>
    </row>
    <row r="22" spans="2:7">
      <c r="B22" s="10" t="s">
        <v>20</v>
      </c>
      <c r="C22" s="12">
        <f>C3-C4*C5/2</f>
        <v>-500</v>
      </c>
      <c r="D22" s="3"/>
      <c r="E22" s="3"/>
      <c r="F22" s="3"/>
      <c r="G22" s="3"/>
    </row>
    <row r="23" spans="2:7">
      <c r="B23" s="10" t="s">
        <v>21</v>
      </c>
      <c r="C23" s="12">
        <f>D3-C4*C6/2</f>
        <v>-500</v>
      </c>
      <c r="D23" s="3"/>
      <c r="E23" s="3"/>
      <c r="F23" s="3"/>
      <c r="G23" s="3"/>
    </row>
    <row r="24" spans="2:7">
      <c r="B24" s="10" t="s">
        <v>22</v>
      </c>
      <c r="C24" s="12">
        <v>0</v>
      </c>
      <c r="D24" s="3"/>
      <c r="E24" s="3"/>
      <c r="F24" s="3"/>
      <c r="G24" s="3"/>
    </row>
    <row r="25" spans="2:7">
      <c r="B25" s="11" t="s">
        <v>55</v>
      </c>
      <c r="C25" s="13">
        <f>C26*E26*G26</f>
        <v>32000</v>
      </c>
    </row>
    <row r="26" spans="2:7">
      <c r="B26" s="10" t="s">
        <v>24</v>
      </c>
      <c r="C26" s="12">
        <f>ROUND(C4*C8/C11,0)+2*C30</f>
        <v>40</v>
      </c>
      <c r="D26" s="10" t="s">
        <v>27</v>
      </c>
      <c r="E26" s="12">
        <f>ROUND(E28*C4*C6/C12,0)+E30*2</f>
        <v>40</v>
      </c>
      <c r="F26" s="10" t="s">
        <v>28</v>
      </c>
      <c r="G26" s="12">
        <f>ROUND(C4*C10/C13,0)+G30</f>
        <v>20</v>
      </c>
    </row>
    <row r="27" spans="2:7">
      <c r="B27" s="10" t="s">
        <v>35</v>
      </c>
      <c r="C27" s="12">
        <f>(C5-C8)/C5/2</f>
        <v>0.3</v>
      </c>
      <c r="D27" s="10" t="s">
        <v>38</v>
      </c>
      <c r="E27" s="12">
        <f>(C6-C9)/C6/2</f>
        <v>0.3</v>
      </c>
      <c r="F27" s="10" t="s">
        <v>41</v>
      </c>
      <c r="G27" s="12">
        <f>(C10)/C7</f>
        <v>0.4</v>
      </c>
    </row>
    <row r="28" spans="2:7">
      <c r="B28" s="10" t="s">
        <v>36</v>
      </c>
      <c r="C28" s="12">
        <f>C8/C5</f>
        <v>0.4</v>
      </c>
      <c r="D28" s="10" t="s">
        <v>39</v>
      </c>
      <c r="E28" s="12">
        <f>C9/C6</f>
        <v>0.4</v>
      </c>
      <c r="F28" s="10" t="s">
        <v>42</v>
      </c>
      <c r="G28" s="12">
        <f>(C7-C10)/C7</f>
        <v>0.6</v>
      </c>
    </row>
    <row r="29" spans="2:7">
      <c r="B29" s="10" t="s">
        <v>37</v>
      </c>
      <c r="C29" s="12">
        <f>C27</f>
        <v>0.3</v>
      </c>
      <c r="D29" s="10" t="s">
        <v>40</v>
      </c>
      <c r="E29" s="12">
        <f>E27</f>
        <v>0.3</v>
      </c>
      <c r="F29" s="10" t="s">
        <v>43</v>
      </c>
      <c r="G29" s="12"/>
    </row>
    <row r="30" spans="2:7">
      <c r="B30" s="10" t="s">
        <v>53</v>
      </c>
      <c r="C30" s="12">
        <f>ROUND(LOG(1-C27*C5*C4*(1-C14)/C11,C14),0)</f>
        <v>10</v>
      </c>
      <c r="D30" s="10" t="s">
        <v>121</v>
      </c>
      <c r="E30" s="12">
        <f>ROUND(LOG(1-E27*C6*C4*(1-C15)/C12,C15),0)</f>
        <v>10</v>
      </c>
      <c r="F30" s="10" t="s">
        <v>122</v>
      </c>
      <c r="G30" s="12">
        <f>ROUND(LOG(1-G28*C7*C4*(1-C16)/C13,C16),0)</f>
        <v>10</v>
      </c>
    </row>
    <row r="31" spans="2:7">
      <c r="B31" s="10" t="s">
        <v>23</v>
      </c>
      <c r="C31" s="14">
        <f>C30/C26</f>
        <v>0.25</v>
      </c>
      <c r="D31" s="10" t="s">
        <v>29</v>
      </c>
      <c r="E31" s="14">
        <f>E30/E26</f>
        <v>0.25</v>
      </c>
      <c r="F31" s="10" t="s">
        <v>32</v>
      </c>
      <c r="G31" s="14">
        <f>ROUND(C4*C10/C13,0)/G26</f>
        <v>0.5</v>
      </c>
    </row>
    <row r="32" spans="2:7">
      <c r="B32" s="10" t="s">
        <v>25</v>
      </c>
      <c r="C32" s="14">
        <f>ROUND(C4*C8/C11,0)/C26</f>
        <v>0.5</v>
      </c>
      <c r="D32" s="10" t="s">
        <v>30</v>
      </c>
      <c r="E32" s="14">
        <f>ROUND(C4*C9/C12,0)/E26</f>
        <v>0.5</v>
      </c>
      <c r="F32" s="10" t="s">
        <v>33</v>
      </c>
      <c r="G32" s="14">
        <f>G30/G26</f>
        <v>0.5</v>
      </c>
    </row>
    <row r="33" spans="2:7">
      <c r="B33" s="10" t="s">
        <v>26</v>
      </c>
      <c r="C33" s="14">
        <f>C31</f>
        <v>0.25</v>
      </c>
      <c r="D33" s="10" t="s">
        <v>31</v>
      </c>
      <c r="E33" s="14">
        <f>E31</f>
        <v>0.25</v>
      </c>
      <c r="F33" s="10" t="s">
        <v>34</v>
      </c>
      <c r="G33" s="12"/>
    </row>
    <row r="34" spans="2:7">
      <c r="B34" s="10" t="s">
        <v>44</v>
      </c>
      <c r="C34" s="14">
        <f>1/C14^(C30-1)</f>
        <v>0.42409761837248466</v>
      </c>
      <c r="D34" s="10" t="s">
        <v>47</v>
      </c>
      <c r="E34" s="14">
        <f>1/C15^(E30-1)</f>
        <v>0.42409761837248466</v>
      </c>
      <c r="F34" s="10" t="s">
        <v>50</v>
      </c>
      <c r="G34" s="12">
        <v>1</v>
      </c>
    </row>
    <row r="35" spans="2:7">
      <c r="B35" s="10" t="s">
        <v>45</v>
      </c>
      <c r="C35" s="12">
        <v>1</v>
      </c>
      <c r="D35" s="10" t="s">
        <v>48</v>
      </c>
      <c r="E35" s="12">
        <v>1</v>
      </c>
      <c r="F35" s="10" t="s">
        <v>51</v>
      </c>
      <c r="G35" s="14">
        <f>C16^(G30-1)</f>
        <v>2.3579476910000015</v>
      </c>
    </row>
    <row r="36" spans="2:7">
      <c r="B36" s="10" t="s">
        <v>46</v>
      </c>
      <c r="C36" s="14">
        <f>1/C34</f>
        <v>2.3579476910000015</v>
      </c>
      <c r="D36" s="10" t="s">
        <v>49</v>
      </c>
      <c r="E36" s="14">
        <f>1/E34</f>
        <v>2.3579476910000015</v>
      </c>
      <c r="F36" s="10" t="s">
        <v>52</v>
      </c>
      <c r="G36" s="12"/>
    </row>
    <row r="40" spans="2:7">
      <c r="B40" t="s">
        <v>124</v>
      </c>
    </row>
    <row r="41" spans="2:7">
      <c r="B41" s="18" t="s">
        <v>125</v>
      </c>
      <c r="C41" s="19" t="s">
        <v>126</v>
      </c>
      <c r="D41" s="20" t="s">
        <v>129</v>
      </c>
    </row>
    <row r="42" spans="2:7">
      <c r="B42" s="21" t="s">
        <v>145</v>
      </c>
      <c r="C42" s="21" t="s">
        <v>127</v>
      </c>
      <c r="D42" s="21">
        <v>1</v>
      </c>
    </row>
    <row r="43" spans="2:7">
      <c r="B43" s="21" t="s">
        <v>146</v>
      </c>
      <c r="C43" s="21" t="s">
        <v>127</v>
      </c>
      <c r="D43" s="21">
        <v>2</v>
      </c>
    </row>
    <row r="44" spans="2:7">
      <c r="B44" s="21"/>
      <c r="C44" s="21"/>
      <c r="D44" s="21"/>
    </row>
    <row r="45" spans="2:7">
      <c r="B45" s="2"/>
      <c r="C45" s="2"/>
      <c r="D45" s="2"/>
      <c r="E45" s="2"/>
    </row>
    <row r="48" spans="2:7">
      <c r="B48" s="17" t="s">
        <v>123</v>
      </c>
    </row>
    <row r="49" spans="2:5">
      <c r="B49" s="15" t="s">
        <v>135</v>
      </c>
      <c r="C49" s="15" t="s">
        <v>134</v>
      </c>
    </row>
    <row r="50" spans="2:5">
      <c r="B50" s="24" t="s">
        <v>131</v>
      </c>
      <c r="C50" s="16" t="s">
        <v>127</v>
      </c>
    </row>
    <row r="51" spans="2:5">
      <c r="B51" s="24" t="s">
        <v>132</v>
      </c>
      <c r="C51" s="16" t="s">
        <v>127</v>
      </c>
    </row>
    <row r="52" spans="2:5">
      <c r="B52" s="24" t="s">
        <v>133</v>
      </c>
      <c r="C52" s="16" t="s">
        <v>128</v>
      </c>
    </row>
    <row r="54" spans="2:5">
      <c r="B54" s="22" t="s">
        <v>138</v>
      </c>
      <c r="C54" s="22"/>
      <c r="D54" s="22"/>
      <c r="E54" s="22"/>
    </row>
    <row r="55" spans="2:5">
      <c r="B55" s="23" t="s">
        <v>137</v>
      </c>
      <c r="C55" s="16">
        <v>0</v>
      </c>
      <c r="D55" s="16">
        <v>0</v>
      </c>
      <c r="E55" s="16">
        <v>20</v>
      </c>
    </row>
    <row r="56" spans="2:5">
      <c r="B56" s="23" t="s">
        <v>139</v>
      </c>
      <c r="C56" s="16">
        <v>3</v>
      </c>
      <c r="D56" s="22"/>
      <c r="E56" s="22"/>
    </row>
    <row r="57" spans="2:5">
      <c r="B57" s="23" t="s">
        <v>136</v>
      </c>
      <c r="C57" s="16">
        <v>180</v>
      </c>
      <c r="D57" s="22"/>
      <c r="E57" s="22"/>
    </row>
    <row r="58" spans="2:5">
      <c r="D58" s="22"/>
      <c r="E58" s="22"/>
    </row>
    <row r="59" spans="2:5">
      <c r="B59" t="s">
        <v>140</v>
      </c>
    </row>
    <row r="60" spans="2:5">
      <c r="B60" s="15" t="s">
        <v>125</v>
      </c>
      <c r="C60" s="15" t="s">
        <v>130</v>
      </c>
      <c r="D60" s="15" t="s">
        <v>129</v>
      </c>
    </row>
    <row r="61" spans="2:5">
      <c r="B61" s="16" t="s">
        <v>145</v>
      </c>
      <c r="C61" s="16" t="s">
        <v>148</v>
      </c>
      <c r="D61" s="16" t="s">
        <v>210</v>
      </c>
    </row>
    <row r="62" spans="2:5">
      <c r="B62" s="16" t="s">
        <v>146</v>
      </c>
      <c r="C62" s="16" t="s">
        <v>149</v>
      </c>
      <c r="D62" s="16" t="s">
        <v>211</v>
      </c>
    </row>
    <row r="63" spans="2:5">
      <c r="B63" s="16"/>
      <c r="C63" s="16"/>
      <c r="D63" s="16"/>
    </row>
    <row r="64" spans="2:5">
      <c r="B64" s="16"/>
      <c r="C64" s="16"/>
      <c r="D64" s="16"/>
    </row>
    <row r="65" spans="2:4">
      <c r="B65" s="16"/>
      <c r="C65" s="16"/>
      <c r="D65" s="16"/>
    </row>
    <row r="66" spans="2:4">
      <c r="B66" s="16"/>
      <c r="C66" s="16"/>
      <c r="D66" s="16"/>
    </row>
    <row r="67" spans="2:4">
      <c r="B67" s="16"/>
      <c r="C67" s="16"/>
      <c r="D67" s="16"/>
    </row>
    <row r="68" spans="2:4">
      <c r="B68" s="16"/>
      <c r="C68" s="16"/>
      <c r="D68" s="16"/>
    </row>
    <row r="71" spans="2:4">
      <c r="B71" t="s">
        <v>141</v>
      </c>
    </row>
    <row r="72" spans="2:4">
      <c r="B72" s="15" t="s">
        <v>125</v>
      </c>
      <c r="C72" s="15" t="s">
        <v>129</v>
      </c>
      <c r="D72" s="15" t="s">
        <v>142</v>
      </c>
    </row>
    <row r="73" spans="2:4">
      <c r="B73" s="16" t="s">
        <v>147</v>
      </c>
      <c r="C73" s="16" t="s">
        <v>143</v>
      </c>
      <c r="D73" s="16" t="s">
        <v>144</v>
      </c>
    </row>
    <row r="74" spans="2:4">
      <c r="B74" s="16"/>
      <c r="C74" s="16"/>
      <c r="D74" s="16"/>
    </row>
    <row r="75" spans="2:4">
      <c r="B75" s="16"/>
      <c r="C75" s="16"/>
      <c r="D75" s="16"/>
    </row>
    <row r="76" spans="2:4">
      <c r="B76" s="16"/>
      <c r="C76" s="16"/>
      <c r="D76" s="16"/>
    </row>
    <row r="77" spans="2:4">
      <c r="B77" s="16"/>
      <c r="C77" s="16"/>
      <c r="D77" s="1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95250</xdr:colOff>
                    <xdr:row>1</xdr:row>
                    <xdr:rowOff>0</xdr:rowOff>
                  </from>
                  <to>
                    <xdr:col>6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257175</xdr:colOff>
                    <xdr:row>39</xdr:row>
                    <xdr:rowOff>180975</xdr:rowOff>
                  </from>
                  <to>
                    <xdr:col>7</xdr:col>
                    <xdr:colOff>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314325</xdr:colOff>
                    <xdr:row>48</xdr:row>
                    <xdr:rowOff>28575</xdr:rowOff>
                  </from>
                  <to>
                    <xdr:col>7</xdr:col>
                    <xdr:colOff>9525</xdr:colOff>
                    <xdr:row>51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 sizeWithCells="1">
                  <from>
                    <xdr:col>7</xdr:col>
                    <xdr:colOff>371475</xdr:colOff>
                    <xdr:row>48</xdr:row>
                    <xdr:rowOff>38100</xdr:rowOff>
                  </from>
                  <to>
                    <xdr:col>8</xdr:col>
                    <xdr:colOff>1038225</xdr:colOff>
                    <xdr:row>51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7"/>
  <sheetViews>
    <sheetView topLeftCell="A7" workbookViewId="0">
      <selection activeCell="E39" sqref="E39"/>
    </sheetView>
  </sheetViews>
  <sheetFormatPr defaultRowHeight="15"/>
  <sheetData>
    <row r="1" spans="1:1">
      <c r="A1" t="s">
        <v>56</v>
      </c>
    </row>
    <row r="2" spans="1:1">
      <c r="A2" t="s">
        <v>57</v>
      </c>
    </row>
    <row r="3" spans="1:1">
      <c r="A3" t="s">
        <v>58</v>
      </c>
    </row>
    <row r="4" spans="1:1">
      <c r="A4" t="s">
        <v>59</v>
      </c>
    </row>
    <row r="5" spans="1:1">
      <c r="A5" t="s">
        <v>60</v>
      </c>
    </row>
    <row r="6" spans="1:1">
      <c r="A6" t="s">
        <v>61</v>
      </c>
    </row>
    <row r="7" spans="1:1">
      <c r="A7" t="s">
        <v>62</v>
      </c>
    </row>
    <row r="8" spans="1:1">
      <c r="A8" t="s">
        <v>63</v>
      </c>
    </row>
    <row r="10" spans="1:1">
      <c r="A10" t="s">
        <v>64</v>
      </c>
    </row>
    <row r="11" spans="1:1">
      <c r="A11" t="s">
        <v>57</v>
      </c>
    </row>
    <row r="12" spans="1:1">
      <c r="A12" t="s">
        <v>65</v>
      </c>
    </row>
    <row r="13" spans="1:1">
      <c r="A13" t="s">
        <v>66</v>
      </c>
    </row>
    <row r="14" spans="1:1">
      <c r="A14" t="s">
        <v>67</v>
      </c>
    </row>
    <row r="15" spans="1:1">
      <c r="A15" t="s">
        <v>68</v>
      </c>
    </row>
    <row r="16" spans="1:1">
      <c r="A16" t="s">
        <v>69</v>
      </c>
    </row>
    <row r="17" spans="1:1">
      <c r="A17" t="s">
        <v>70</v>
      </c>
    </row>
    <row r="18" spans="1:1">
      <c r="A18" t="s">
        <v>71</v>
      </c>
    </row>
    <row r="19" spans="1:1">
      <c r="A19" t="s">
        <v>72</v>
      </c>
    </row>
    <row r="20" spans="1:1">
      <c r="A20" t="s">
        <v>73</v>
      </c>
    </row>
    <row r="21" spans="1:1">
      <c r="A21" t="s">
        <v>62</v>
      </c>
    </row>
    <row r="23" spans="1:1">
      <c r="A23" t="s">
        <v>74</v>
      </c>
    </row>
    <row r="25" spans="1:1">
      <c r="A25" t="s">
        <v>75</v>
      </c>
    </row>
    <row r="26" spans="1:1">
      <c r="A26" t="s">
        <v>76</v>
      </c>
    </row>
    <row r="27" spans="1:1">
      <c r="A27" t="s">
        <v>77</v>
      </c>
    </row>
    <row r="28" spans="1:1">
      <c r="A28" t="s">
        <v>78</v>
      </c>
    </row>
    <row r="29" spans="1:1">
      <c r="A29" t="s">
        <v>79</v>
      </c>
    </row>
    <row r="30" spans="1:1">
      <c r="A30" t="s">
        <v>80</v>
      </c>
    </row>
    <row r="32" spans="1:1">
      <c r="A32" t="s">
        <v>81</v>
      </c>
    </row>
    <row r="33" spans="1:1">
      <c r="A33" t="s">
        <v>82</v>
      </c>
    </row>
    <row r="34" spans="1:1">
      <c r="A34" t="s">
        <v>83</v>
      </c>
    </row>
    <row r="35" spans="1:1">
      <c r="A35" t="s">
        <v>84</v>
      </c>
    </row>
    <row r="36" spans="1:1">
      <c r="A36" t="s">
        <v>85</v>
      </c>
    </row>
    <row r="38" spans="1:1">
      <c r="A38" t="s">
        <v>86</v>
      </c>
    </row>
    <row r="39" spans="1:1">
      <c r="A39" t="s">
        <v>76</v>
      </c>
    </row>
    <row r="40" spans="1:1">
      <c r="A40" t="s">
        <v>87</v>
      </c>
    </row>
    <row r="41" spans="1:1">
      <c r="A41" t="s">
        <v>88</v>
      </c>
    </row>
    <row r="42" spans="1:1">
      <c r="A42" t="s">
        <v>89</v>
      </c>
    </row>
    <row r="43" spans="1:1">
      <c r="A43" t="s">
        <v>90</v>
      </c>
    </row>
    <row r="44" spans="1:1">
      <c r="A44" t="s">
        <v>91</v>
      </c>
    </row>
    <row r="45" spans="1:1">
      <c r="A45" t="s">
        <v>92</v>
      </c>
    </row>
    <row r="46" spans="1:1">
      <c r="A46" t="s">
        <v>93</v>
      </c>
    </row>
    <row r="47" spans="1:1">
      <c r="A47" t="s">
        <v>94</v>
      </c>
    </row>
    <row r="48" spans="1:1">
      <c r="A48" t="s">
        <v>95</v>
      </c>
    </row>
    <row r="49" spans="1:1">
      <c r="A49" t="s">
        <v>96</v>
      </c>
    </row>
    <row r="50" spans="1:1">
      <c r="A50" t="s">
        <v>92</v>
      </c>
    </row>
    <row r="51" spans="1:1">
      <c r="A51" t="s">
        <v>85</v>
      </c>
    </row>
    <row r="53" spans="1:1">
      <c r="A53" t="s">
        <v>97</v>
      </c>
    </row>
    <row r="54" spans="1:1">
      <c r="A54" t="s">
        <v>76</v>
      </c>
    </row>
    <row r="55" spans="1:1">
      <c r="A55" t="s">
        <v>85</v>
      </c>
    </row>
    <row r="57" spans="1:1">
      <c r="A57" t="s">
        <v>98</v>
      </c>
    </row>
    <row r="58" spans="1:1">
      <c r="A58" t="s">
        <v>76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8" spans="1:1">
      <c r="A68" t="s">
        <v>107</v>
      </c>
    </row>
    <row r="69" spans="1:1">
      <c r="A69" t="s">
        <v>100</v>
      </c>
    </row>
    <row r="70" spans="1:1">
      <c r="A70" t="s">
        <v>101</v>
      </c>
    </row>
    <row r="71" spans="1:1">
      <c r="A71" t="s">
        <v>102</v>
      </c>
    </row>
    <row r="72" spans="1:1">
      <c r="A72" t="s">
        <v>103</v>
      </c>
    </row>
    <row r="73" spans="1:1">
      <c r="A73" t="s">
        <v>108</v>
      </c>
    </row>
    <row r="74" spans="1:1">
      <c r="A74" t="s">
        <v>105</v>
      </c>
    </row>
    <row r="75" spans="1:1">
      <c r="A75" t="s">
        <v>106</v>
      </c>
    </row>
    <row r="77" spans="1:1">
      <c r="A77" t="s">
        <v>109</v>
      </c>
    </row>
    <row r="78" spans="1:1">
      <c r="A78" t="s">
        <v>100</v>
      </c>
    </row>
    <row r="79" spans="1:1">
      <c r="A79" t="s">
        <v>110</v>
      </c>
    </row>
    <row r="80" spans="1:1">
      <c r="A80" t="s">
        <v>102</v>
      </c>
    </row>
    <row r="81" spans="1:1">
      <c r="A81" t="s">
        <v>103</v>
      </c>
    </row>
    <row r="82" spans="1:1">
      <c r="A82" t="s">
        <v>111</v>
      </c>
    </row>
    <row r="83" spans="1:1">
      <c r="A83" t="s">
        <v>105</v>
      </c>
    </row>
    <row r="84" spans="1:1">
      <c r="A84" t="s">
        <v>106</v>
      </c>
    </row>
    <row r="85" spans="1:1">
      <c r="A85" t="s">
        <v>112</v>
      </c>
    </row>
    <row r="86" spans="1:1">
      <c r="A86" t="s">
        <v>113</v>
      </c>
    </row>
    <row r="87" spans="1:1">
      <c r="A87" t="s">
        <v>100</v>
      </c>
    </row>
    <row r="88" spans="1:1">
      <c r="A88" t="s">
        <v>101</v>
      </c>
    </row>
    <row r="89" spans="1:1">
      <c r="A89" t="s">
        <v>102</v>
      </c>
    </row>
    <row r="90" spans="1:1">
      <c r="A90" t="s">
        <v>103</v>
      </c>
    </row>
    <row r="91" spans="1:1">
      <c r="A91" t="s">
        <v>114</v>
      </c>
    </row>
    <row r="92" spans="1:1">
      <c r="A92" t="s">
        <v>105</v>
      </c>
    </row>
    <row r="93" spans="1:1">
      <c r="A93" t="s">
        <v>106</v>
      </c>
    </row>
    <row r="94" spans="1:1">
      <c r="A94" t="s">
        <v>112</v>
      </c>
    </row>
    <row r="95" spans="1:1">
      <c r="A95" t="s">
        <v>115</v>
      </c>
    </row>
    <row r="96" spans="1:1">
      <c r="A96" t="s">
        <v>100</v>
      </c>
    </row>
    <row r="97" spans="1:1">
      <c r="A97" t="s">
        <v>101</v>
      </c>
    </row>
    <row r="98" spans="1:1">
      <c r="A98" t="s">
        <v>102</v>
      </c>
    </row>
    <row r="99" spans="1:1">
      <c r="A99" t="s">
        <v>103</v>
      </c>
    </row>
    <row r="100" spans="1:1">
      <c r="A100" t="s">
        <v>116</v>
      </c>
    </row>
    <row r="101" spans="1:1">
      <c r="A101" t="s">
        <v>105</v>
      </c>
    </row>
    <row r="102" spans="1:1">
      <c r="A102" t="s">
        <v>106</v>
      </c>
    </row>
    <row r="104" spans="1:1">
      <c r="A104" t="s">
        <v>117</v>
      </c>
    </row>
    <row r="105" spans="1:1">
      <c r="A105" t="s">
        <v>100</v>
      </c>
    </row>
    <row r="106" spans="1:1">
      <c r="A106" t="s">
        <v>101</v>
      </c>
    </row>
    <row r="107" spans="1:1">
      <c r="A107" t="s">
        <v>102</v>
      </c>
    </row>
    <row r="108" spans="1:1">
      <c r="A108" t="s">
        <v>103</v>
      </c>
    </row>
    <row r="109" spans="1:1">
      <c r="A109" t="s">
        <v>118</v>
      </c>
    </row>
    <row r="110" spans="1:1">
      <c r="A110" t="s">
        <v>105</v>
      </c>
    </row>
    <row r="111" spans="1:1">
      <c r="A111" t="s">
        <v>106</v>
      </c>
    </row>
    <row r="113" spans="1:1">
      <c r="A113" t="s">
        <v>85</v>
      </c>
    </row>
    <row r="115" spans="1:1">
      <c r="A115" t="s">
        <v>119</v>
      </c>
    </row>
    <row r="116" spans="1:1">
      <c r="A116" t="s">
        <v>76</v>
      </c>
    </row>
    <row r="117" spans="1:1">
      <c r="A117" t="s">
        <v>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"/>
  <sheetViews>
    <sheetView workbookViewId="0">
      <selection activeCell="G15" sqref="G15"/>
    </sheetView>
  </sheetViews>
  <sheetFormatPr defaultRowHeight="15"/>
  <sheetData>
    <row r="1" spans="1:1">
      <c r="A1" t="s">
        <v>201</v>
      </c>
    </row>
    <row r="2" spans="1:1">
      <c r="A2" t="s">
        <v>202</v>
      </c>
    </row>
    <row r="3" spans="1:1">
      <c r="A3" t="s">
        <v>203</v>
      </c>
    </row>
    <row r="4" spans="1:1">
      <c r="A4" t="s">
        <v>204</v>
      </c>
    </row>
    <row r="5" spans="1:1">
      <c r="A5" t="s">
        <v>205</v>
      </c>
    </row>
    <row r="6" spans="1:1">
      <c r="A6" t="s">
        <v>206</v>
      </c>
    </row>
    <row r="7" spans="1:1">
      <c r="A7" t="s">
        <v>207</v>
      </c>
    </row>
    <row r="8" spans="1:1">
      <c r="A8" t="s">
        <v>208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2"/>
  <sheetViews>
    <sheetView topLeftCell="A97" workbookViewId="0">
      <selection activeCell="G114" sqref="G114"/>
    </sheetView>
  </sheetViews>
  <sheetFormatPr defaultRowHeight="15"/>
  <sheetData>
    <row r="1" spans="1:7">
      <c r="A1" t="s">
        <v>201</v>
      </c>
      <c r="G1" t="str">
        <f>CONCATENATE(A1," ",B1," ",C1," ",D1)</f>
        <v xml:space="preserve">FoamFile      </v>
      </c>
    </row>
    <row r="2" spans="1:7">
      <c r="A2" t="s">
        <v>202</v>
      </c>
      <c r="G2" t="str">
        <f t="shared" ref="G2:G9" si="0">CONCATENATE(A2," ",B2," ",C2," ",D2)</f>
        <v xml:space="preserve">{      </v>
      </c>
    </row>
    <row r="3" spans="1:7">
      <c r="A3" t="s">
        <v>203</v>
      </c>
      <c r="G3" t="str">
        <f t="shared" si="0"/>
        <v xml:space="preserve"> version  4.0;   </v>
      </c>
    </row>
    <row r="4" spans="1:7">
      <c r="A4" t="s">
        <v>204</v>
      </c>
      <c r="G4" t="str">
        <f t="shared" si="0"/>
        <v xml:space="preserve"> format  ascii;   </v>
      </c>
    </row>
    <row r="5" spans="1:7">
      <c r="A5" t="s">
        <v>205</v>
      </c>
      <c r="G5" t="str">
        <f t="shared" si="0"/>
        <v xml:space="preserve"> class  dictionary;   </v>
      </c>
    </row>
    <row r="6" spans="1:7">
      <c r="A6" t="s">
        <v>206</v>
      </c>
      <c r="G6" t="str">
        <f t="shared" si="0"/>
        <v xml:space="preserve"> location system;    </v>
      </c>
    </row>
    <row r="7" spans="1:7">
      <c r="A7" t="s">
        <v>209</v>
      </c>
      <c r="G7" t="str">
        <f t="shared" si="0"/>
        <v xml:space="preserve"> object  snappyHexMeshDict;   </v>
      </c>
    </row>
    <row r="8" spans="1:7">
      <c r="A8" t="s">
        <v>208</v>
      </c>
      <c r="G8" t="str">
        <f t="shared" si="0"/>
        <v xml:space="preserve">}      </v>
      </c>
    </row>
    <row r="9" spans="1:7">
      <c r="G9" t="str">
        <f t="shared" si="0"/>
        <v xml:space="preserve">   </v>
      </c>
    </row>
    <row r="10" spans="1:7">
      <c r="A10" t="s">
        <v>150</v>
      </c>
    </row>
    <row r="11" spans="1:7">
      <c r="A11" t="s">
        <v>151</v>
      </c>
    </row>
    <row r="12" spans="1:7">
      <c r="A12" t="s">
        <v>152</v>
      </c>
    </row>
    <row r="13" spans="1:7">
      <c r="A13" t="s">
        <v>153</v>
      </c>
    </row>
    <row r="14" spans="1:7">
      <c r="A14" t="s">
        <v>152</v>
      </c>
    </row>
    <row r="15" spans="1:7">
      <c r="A15" t="s">
        <v>154</v>
      </c>
    </row>
    <row r="16" spans="1:7">
      <c r="A16" t="s">
        <v>152</v>
      </c>
    </row>
    <row r="17" spans="1:1">
      <c r="A17" t="s">
        <v>155</v>
      </c>
    </row>
    <row r="18" spans="1:1">
      <c r="A18" t="s">
        <v>152</v>
      </c>
    </row>
    <row r="19" spans="1:1">
      <c r="A19" t="s">
        <v>156</v>
      </c>
    </row>
    <row r="20" spans="1:1">
      <c r="A20" t="s">
        <v>152</v>
      </c>
    </row>
    <row r="21" spans="1:1">
      <c r="A21" t="s">
        <v>157</v>
      </c>
    </row>
    <row r="22" spans="1:1">
      <c r="A22" t="s">
        <v>152</v>
      </c>
    </row>
    <row r="23" spans="1:1">
      <c r="A23" t="s">
        <v>158</v>
      </c>
    </row>
    <row r="24" spans="1:1">
      <c r="A24" t="s">
        <v>152</v>
      </c>
    </row>
    <row r="25" spans="1:1">
      <c r="A25" t="s">
        <v>159</v>
      </c>
    </row>
    <row r="26" spans="1:1">
      <c r="A26" t="s">
        <v>152</v>
      </c>
    </row>
    <row r="27" spans="1:1">
      <c r="A27" t="s">
        <v>160</v>
      </c>
    </row>
    <row r="28" spans="1:1">
      <c r="A28" t="s">
        <v>152</v>
      </c>
    </row>
    <row r="29" spans="1:1">
      <c r="A29" t="s">
        <v>161</v>
      </c>
    </row>
    <row r="30" spans="1:1">
      <c r="A30" t="s">
        <v>151</v>
      </c>
    </row>
    <row r="31" spans="1:1">
      <c r="A31" t="s">
        <v>152</v>
      </c>
    </row>
    <row r="32" spans="1:1">
      <c r="A32" t="s">
        <v>162</v>
      </c>
    </row>
    <row r="33" spans="1:1">
      <c r="A33" t="s">
        <v>152</v>
      </c>
    </row>
    <row r="34" spans="1:1">
      <c r="A34" t="s">
        <v>163</v>
      </c>
    </row>
    <row r="35" spans="1:1">
      <c r="A35" t="s">
        <v>152</v>
      </c>
    </row>
    <row r="36" spans="1:1">
      <c r="A36" t="s">
        <v>164</v>
      </c>
    </row>
    <row r="37" spans="1:1">
      <c r="A37" t="s">
        <v>152</v>
      </c>
    </row>
    <row r="38" spans="1:1">
      <c r="A38" t="s">
        <v>165</v>
      </c>
    </row>
    <row r="39" spans="1:1">
      <c r="A39" t="s">
        <v>152</v>
      </c>
    </row>
    <row r="40" spans="1:1">
      <c r="A40" t="s">
        <v>166</v>
      </c>
    </row>
    <row r="41" spans="1:1">
      <c r="A41" t="s">
        <v>152</v>
      </c>
    </row>
    <row r="42" spans="1:1">
      <c r="A42" t="s">
        <v>167</v>
      </c>
    </row>
    <row r="43" spans="1:1">
      <c r="A43" t="s">
        <v>152</v>
      </c>
    </row>
    <row r="44" spans="1:1">
      <c r="A44" t="s">
        <v>168</v>
      </c>
    </row>
    <row r="45" spans="1:1">
      <c r="A45" t="s">
        <v>152</v>
      </c>
    </row>
    <row r="46" spans="1:1">
      <c r="A46" t="s">
        <v>169</v>
      </c>
    </row>
    <row r="47" spans="1:1">
      <c r="A47" t="s">
        <v>152</v>
      </c>
    </row>
    <row r="48" spans="1:1">
      <c r="A48" t="s">
        <v>170</v>
      </c>
    </row>
    <row r="49" spans="1:1">
      <c r="A49" t="s">
        <v>152</v>
      </c>
    </row>
    <row r="50" spans="1:1">
      <c r="A50" t="s">
        <v>171</v>
      </c>
    </row>
    <row r="51" spans="1:1">
      <c r="A51" t="s">
        <v>152</v>
      </c>
    </row>
    <row r="52" spans="1:1">
      <c r="A52" t="s">
        <v>172</v>
      </c>
    </row>
    <row r="53" spans="1:1">
      <c r="A53" t="s">
        <v>152</v>
      </c>
    </row>
    <row r="54" spans="1:1">
      <c r="A54" t="s">
        <v>173</v>
      </c>
    </row>
    <row r="55" spans="1:1">
      <c r="A55" t="s">
        <v>152</v>
      </c>
    </row>
    <row r="56" spans="1:1">
      <c r="A56" t="s">
        <v>174</v>
      </c>
    </row>
    <row r="57" spans="1:1">
      <c r="A57" t="s">
        <v>152</v>
      </c>
    </row>
    <row r="58" spans="1:1">
      <c r="A58" t="s">
        <v>175</v>
      </c>
    </row>
    <row r="59" spans="1:1">
      <c r="A59" t="s">
        <v>152</v>
      </c>
    </row>
    <row r="60" spans="1:1">
      <c r="A60" t="s">
        <v>176</v>
      </c>
    </row>
    <row r="61" spans="1:1">
      <c r="A61" t="s">
        <v>152</v>
      </c>
    </row>
    <row r="62" spans="1:1">
      <c r="A62" t="s">
        <v>177</v>
      </c>
    </row>
    <row r="63" spans="1:1">
      <c r="A63" t="s">
        <v>152</v>
      </c>
    </row>
    <row r="64" spans="1:1">
      <c r="A64" t="s">
        <v>178</v>
      </c>
    </row>
    <row r="65" spans="1:1">
      <c r="A65" t="s">
        <v>152</v>
      </c>
    </row>
    <row r="66" spans="1:1">
      <c r="A66" t="s">
        <v>160</v>
      </c>
    </row>
    <row r="67" spans="1:1">
      <c r="A67" t="s">
        <v>152</v>
      </c>
    </row>
    <row r="68" spans="1:1">
      <c r="A68" t="s">
        <v>179</v>
      </c>
    </row>
    <row r="69" spans="1:1">
      <c r="A69" t="s">
        <v>151</v>
      </c>
    </row>
    <row r="70" spans="1:1">
      <c r="A70" t="s">
        <v>152</v>
      </c>
    </row>
    <row r="71" spans="1:1">
      <c r="A71" t="s">
        <v>180</v>
      </c>
    </row>
    <row r="72" spans="1:1">
      <c r="A72" t="s">
        <v>152</v>
      </c>
    </row>
    <row r="73" spans="1:1">
      <c r="A73" t="s">
        <v>181</v>
      </c>
    </row>
    <row r="74" spans="1:1">
      <c r="A74" t="s">
        <v>152</v>
      </c>
    </row>
    <row r="75" spans="1:1">
      <c r="A75" t="s">
        <v>182</v>
      </c>
    </row>
    <row r="76" spans="1:1">
      <c r="A76" t="s">
        <v>152</v>
      </c>
    </row>
    <row r="77" spans="1:1">
      <c r="A77" t="s">
        <v>183</v>
      </c>
    </row>
    <row r="78" spans="1:1">
      <c r="A78" t="s">
        <v>152</v>
      </c>
    </row>
    <row r="79" spans="1:1">
      <c r="A79" t="s">
        <v>184</v>
      </c>
    </row>
    <row r="80" spans="1:1">
      <c r="A80" t="s">
        <v>152</v>
      </c>
    </row>
    <row r="81" spans="1:1">
      <c r="A81" t="s">
        <v>185</v>
      </c>
    </row>
    <row r="82" spans="1:1">
      <c r="A82" t="s">
        <v>152</v>
      </c>
    </row>
    <row r="83" spans="1:1">
      <c r="A83" t="s">
        <v>186</v>
      </c>
    </row>
    <row r="84" spans="1:1">
      <c r="A84" t="s">
        <v>152</v>
      </c>
    </row>
    <row r="85" spans="1:1">
      <c r="A85" t="s">
        <v>187</v>
      </c>
    </row>
    <row r="86" spans="1:1">
      <c r="A86" t="s">
        <v>152</v>
      </c>
    </row>
    <row r="87" spans="1:1">
      <c r="A87" t="s">
        <v>188</v>
      </c>
    </row>
    <row r="88" spans="1:1">
      <c r="A88" t="s">
        <v>152</v>
      </c>
    </row>
    <row r="89" spans="1:1">
      <c r="A89" t="s">
        <v>189</v>
      </c>
    </row>
    <row r="90" spans="1:1">
      <c r="A90" t="s">
        <v>152</v>
      </c>
    </row>
    <row r="91" spans="1:1">
      <c r="A91" t="s">
        <v>190</v>
      </c>
    </row>
    <row r="92" spans="1:1">
      <c r="A92" t="s">
        <v>152</v>
      </c>
    </row>
    <row r="93" spans="1:1">
      <c r="A93" t="s">
        <v>191</v>
      </c>
    </row>
    <row r="94" spans="1:1">
      <c r="A94" t="s">
        <v>152</v>
      </c>
    </row>
    <row r="95" spans="1:1">
      <c r="A95" t="s">
        <v>192</v>
      </c>
    </row>
    <row r="96" spans="1:1">
      <c r="A96" t="s">
        <v>152</v>
      </c>
    </row>
    <row r="97" spans="1:1">
      <c r="A97" t="s">
        <v>193</v>
      </c>
    </row>
    <row r="98" spans="1:1">
      <c r="A98" t="s">
        <v>152</v>
      </c>
    </row>
    <row r="99" spans="1:1">
      <c r="A99" t="s">
        <v>194</v>
      </c>
    </row>
    <row r="100" spans="1:1">
      <c r="A100" t="s">
        <v>152</v>
      </c>
    </row>
    <row r="101" spans="1:1">
      <c r="A101" t="s">
        <v>195</v>
      </c>
    </row>
    <row r="102" spans="1:1">
      <c r="A102" t="s">
        <v>196</v>
      </c>
    </row>
    <row r="103" spans="1:1">
      <c r="A103" t="s">
        <v>152</v>
      </c>
    </row>
    <row r="104" spans="1:1">
      <c r="A104" t="s">
        <v>197</v>
      </c>
    </row>
    <row r="105" spans="1:1">
      <c r="A105" t="s">
        <v>152</v>
      </c>
    </row>
    <row r="106" spans="1:1">
      <c r="A106" t="s">
        <v>198</v>
      </c>
    </row>
    <row r="107" spans="1:1">
      <c r="A107" t="s">
        <v>152</v>
      </c>
    </row>
    <row r="108" spans="1:1">
      <c r="A108" t="s">
        <v>160</v>
      </c>
    </row>
    <row r="109" spans="1:1">
      <c r="A109" t="s">
        <v>152</v>
      </c>
    </row>
    <row r="110" spans="1:1">
      <c r="A110" t="s">
        <v>199</v>
      </c>
    </row>
    <row r="111" spans="1:1">
      <c r="A111" t="s">
        <v>152</v>
      </c>
    </row>
    <row r="112" spans="1:1">
      <c r="A112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blockMeshDict</vt:lpstr>
      <vt:lpstr>surfaceFeatureExtractDict</vt:lpstr>
      <vt:lpstr>snappyHexMeshDict</vt:lpstr>
    </vt:vector>
  </TitlesOfParts>
  <Company>AECOM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Xin John</dc:creator>
  <cp:lastModifiedBy>Wang, Xin John</cp:lastModifiedBy>
  <dcterms:created xsi:type="dcterms:W3CDTF">2019-09-11T05:10:06Z</dcterms:created>
  <dcterms:modified xsi:type="dcterms:W3CDTF">2019-09-12T11:01:45Z</dcterms:modified>
</cp:coreProperties>
</file>