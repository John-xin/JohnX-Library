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AMS" sheetId="2" r:id="rId1"/>
    <sheet name="WT" sheetId="3" r:id="rId2"/>
    <sheet name="RAMS_Database" sheetId="4" r:id="rId3"/>
    <sheet name="WT_Database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BA6" i="3" l="1"/>
  <c r="BA7" i="3"/>
  <c r="BA8" i="3"/>
  <c r="BA9" i="3"/>
  <c r="BA10" i="3"/>
  <c r="BA11" i="3"/>
  <c r="BA12" i="3"/>
  <c r="BA13" i="3"/>
  <c r="BA5" i="3"/>
  <c r="AX6" i="3"/>
  <c r="AX7" i="3"/>
  <c r="AX8" i="3"/>
  <c r="AX9" i="3"/>
  <c r="AX10" i="3"/>
  <c r="AX11" i="3"/>
  <c r="AX12" i="3"/>
  <c r="AX13" i="3"/>
  <c r="Q6" i="3"/>
  <c r="Q7" i="3"/>
  <c r="Q8" i="3"/>
  <c r="Q9" i="3"/>
  <c r="Q10" i="3"/>
  <c r="Q11" i="3"/>
  <c r="Q12" i="3"/>
  <c r="Q13" i="3"/>
  <c r="Q5" i="3"/>
  <c r="AX5" i="3"/>
  <c r="AU13" i="3"/>
  <c r="AU12" i="3"/>
  <c r="AU11" i="3"/>
  <c r="AU10" i="3"/>
  <c r="AU9" i="3"/>
  <c r="AU8" i="3"/>
  <c r="AU7" i="3"/>
  <c r="AU6" i="3"/>
  <c r="AU5" i="3"/>
  <c r="AR13" i="3"/>
  <c r="AR12" i="3"/>
  <c r="AR11" i="3"/>
  <c r="AR10" i="3"/>
  <c r="AR9" i="3"/>
  <c r="AR8" i="3"/>
  <c r="AR7" i="3"/>
  <c r="AR6" i="3"/>
  <c r="AR5" i="3"/>
  <c r="AO13" i="3"/>
  <c r="AO12" i="3"/>
  <c r="AO11" i="3"/>
  <c r="AO10" i="3"/>
  <c r="AO9" i="3"/>
  <c r="AO8" i="3"/>
  <c r="AO7" i="3"/>
  <c r="AO6" i="3"/>
  <c r="AO5" i="3"/>
  <c r="AL13" i="3"/>
  <c r="AL12" i="3"/>
  <c r="AL11" i="3"/>
  <c r="AL10" i="3"/>
  <c r="AL9" i="3"/>
  <c r="AL8" i="3"/>
  <c r="AL7" i="3"/>
  <c r="AL6" i="3"/>
  <c r="AL5" i="3"/>
  <c r="AI13" i="3"/>
  <c r="AI12" i="3"/>
  <c r="AI11" i="3"/>
  <c r="AI10" i="3"/>
  <c r="AI9" i="3"/>
  <c r="AI8" i="3"/>
  <c r="AI7" i="3"/>
  <c r="AI6" i="3"/>
  <c r="AI5" i="3"/>
  <c r="AF13" i="3"/>
  <c r="AF12" i="3"/>
  <c r="AF11" i="3"/>
  <c r="AF10" i="3"/>
  <c r="AF9" i="3"/>
  <c r="AF8" i="3"/>
  <c r="AF7" i="3"/>
  <c r="AF6" i="3"/>
  <c r="AF5" i="3"/>
  <c r="AC13" i="3"/>
  <c r="AC12" i="3"/>
  <c r="AC11" i="3"/>
  <c r="AC10" i="3"/>
  <c r="AC9" i="3"/>
  <c r="AC8" i="3"/>
  <c r="AC7" i="3"/>
  <c r="AC6" i="3"/>
  <c r="AC5" i="3"/>
  <c r="Z13" i="3"/>
  <c r="Z12" i="3"/>
  <c r="Z11" i="3"/>
  <c r="Z10" i="3"/>
  <c r="Z9" i="3"/>
  <c r="Z8" i="3"/>
  <c r="Z7" i="3"/>
  <c r="Z6" i="3"/>
  <c r="Z5" i="3"/>
  <c r="W13" i="3"/>
  <c r="W12" i="3"/>
  <c r="W11" i="3"/>
  <c r="W10" i="3"/>
  <c r="W9" i="3"/>
  <c r="W8" i="3"/>
  <c r="W7" i="3"/>
  <c r="W6" i="3"/>
  <c r="W5" i="3"/>
  <c r="T13" i="3"/>
  <c r="T12" i="3"/>
  <c r="T11" i="3"/>
  <c r="T10" i="3"/>
  <c r="T9" i="3"/>
  <c r="T8" i="3"/>
  <c r="T7" i="3"/>
  <c r="T6" i="3"/>
  <c r="T5" i="3"/>
  <c r="N13" i="3"/>
  <c r="N12" i="3"/>
  <c r="N11" i="3"/>
  <c r="N10" i="3"/>
  <c r="N9" i="3"/>
  <c r="N8" i="3"/>
  <c r="N7" i="3"/>
  <c r="N6" i="3"/>
  <c r="N5" i="3"/>
  <c r="H13" i="3"/>
  <c r="H12" i="3"/>
  <c r="H11" i="3"/>
  <c r="H10" i="3"/>
  <c r="H9" i="3"/>
  <c r="H8" i="3"/>
  <c r="H7" i="3"/>
  <c r="H6" i="3"/>
  <c r="H5" i="3"/>
  <c r="K6" i="3"/>
  <c r="K7" i="3"/>
  <c r="K8" i="3"/>
  <c r="K9" i="3"/>
  <c r="K10" i="3"/>
  <c r="K11" i="3"/>
  <c r="K12" i="3"/>
  <c r="K13" i="3"/>
  <c r="K5" i="3"/>
  <c r="AB10" i="2" l="1"/>
  <c r="Y10" i="2"/>
  <c r="V10" i="2"/>
  <c r="S11" i="2"/>
  <c r="AB11" i="2" l="1"/>
  <c r="V11" i="2"/>
  <c r="S12" i="2"/>
  <c r="Y11" i="2"/>
  <c r="AC9" i="2"/>
  <c r="AB9" i="2"/>
  <c r="AC8" i="2"/>
  <c r="AB8" i="2"/>
  <c r="AC7" i="2"/>
  <c r="AB7" i="2"/>
  <c r="Z9" i="2"/>
  <c r="Y9" i="2"/>
  <c r="Z8" i="2"/>
  <c r="Y8" i="2"/>
  <c r="Z7" i="2"/>
  <c r="Y7" i="2"/>
  <c r="W9" i="2"/>
  <c r="V9" i="2"/>
  <c r="W8" i="2"/>
  <c r="V8" i="2"/>
  <c r="W7" i="2"/>
  <c r="V7" i="2"/>
  <c r="S8" i="2"/>
  <c r="T8" i="2"/>
  <c r="S9" i="2"/>
  <c r="T9" i="2"/>
  <c r="T7" i="2"/>
  <c r="S7" i="2"/>
  <c r="AB12" i="2" l="1"/>
  <c r="V12" i="2"/>
  <c r="Y12" i="2"/>
  <c r="S13" i="2"/>
  <c r="Y13" i="2" l="1"/>
  <c r="AB13" i="2"/>
  <c r="V13" i="2"/>
  <c r="S14" i="2"/>
  <c r="S15" i="2" l="1"/>
  <c r="Y14" i="2"/>
  <c r="AB14" i="2"/>
  <c r="V14" i="2"/>
  <c r="S16" i="2" l="1"/>
  <c r="AB15" i="2"/>
  <c r="V15" i="2"/>
  <c r="Y15" i="2"/>
  <c r="S17" i="2" l="1"/>
  <c r="AB16" i="2"/>
  <c r="V16" i="2"/>
  <c r="Y16" i="2"/>
  <c r="S18" i="2" l="1"/>
  <c r="Y17" i="2"/>
  <c r="AB17" i="2"/>
  <c r="V17" i="2"/>
  <c r="S19" i="2" l="1"/>
  <c r="Y18" i="2"/>
  <c r="AB18" i="2"/>
  <c r="V18" i="2"/>
  <c r="S20" i="2" l="1"/>
  <c r="AB19" i="2"/>
  <c r="V19" i="2"/>
  <c r="Y19" i="2"/>
  <c r="S21" i="2" l="1"/>
  <c r="AB20" i="2"/>
  <c r="V20" i="2"/>
  <c r="Y20" i="2"/>
  <c r="S22" i="2" l="1"/>
  <c r="Y21" i="2"/>
  <c r="V21" i="2"/>
  <c r="AB21" i="2"/>
  <c r="S23" i="2" l="1"/>
  <c r="Y22" i="2"/>
  <c r="AB22" i="2"/>
  <c r="V22" i="2"/>
  <c r="S24" i="2" l="1"/>
  <c r="AB23" i="2"/>
  <c r="V23" i="2"/>
  <c r="Y23" i="2"/>
  <c r="S25" i="2" l="1"/>
  <c r="AB24" i="2"/>
  <c r="V24" i="2"/>
  <c r="Y24" i="2"/>
  <c r="S26" i="2" l="1"/>
  <c r="Y25" i="2"/>
  <c r="V25" i="2"/>
  <c r="AB25" i="2"/>
  <c r="S27" i="2" l="1"/>
  <c r="Y26" i="2"/>
  <c r="AB26" i="2"/>
  <c r="V26" i="2"/>
  <c r="S28" i="2" l="1"/>
  <c r="AB27" i="2"/>
  <c r="V27" i="2"/>
  <c r="Y27" i="2"/>
  <c r="S29" i="2" l="1"/>
  <c r="AB28" i="2"/>
  <c r="V28" i="2"/>
  <c r="Y28" i="2"/>
  <c r="S30" i="2" l="1"/>
  <c r="Y29" i="2"/>
  <c r="AB29" i="2"/>
  <c r="V29" i="2"/>
  <c r="S31" i="2" l="1"/>
  <c r="Y30" i="2"/>
  <c r="AB30" i="2"/>
  <c r="V30" i="2"/>
  <c r="S32" i="2" l="1"/>
  <c r="AB31" i="2"/>
  <c r="V31" i="2"/>
  <c r="Y31" i="2"/>
  <c r="S33" i="2" l="1"/>
  <c r="AB32" i="2"/>
  <c r="V32" i="2"/>
  <c r="Y32" i="2"/>
  <c r="S34" i="2" l="1"/>
  <c r="Y33" i="2"/>
  <c r="AB33" i="2"/>
  <c r="V33" i="2"/>
  <c r="S35" i="2" l="1"/>
  <c r="Y34" i="2"/>
  <c r="AB34" i="2"/>
  <c r="V34" i="2"/>
  <c r="S36" i="2" l="1"/>
  <c r="AB35" i="2"/>
  <c r="V35" i="2"/>
  <c r="Y35" i="2"/>
  <c r="S37" i="2" l="1"/>
  <c r="AB36" i="2"/>
  <c r="V36" i="2"/>
  <c r="Y36" i="2"/>
  <c r="S38" i="2" l="1"/>
  <c r="Y37" i="2"/>
  <c r="AB37" i="2"/>
  <c r="V37" i="2"/>
  <c r="S39" i="2" l="1"/>
  <c r="Y38" i="2"/>
  <c r="AB38" i="2"/>
  <c r="V38" i="2"/>
  <c r="S40" i="2" l="1"/>
  <c r="AB39" i="2"/>
  <c r="V39" i="2"/>
  <c r="Y39" i="2"/>
  <c r="S41" i="2" l="1"/>
  <c r="AB40" i="2"/>
  <c r="V40" i="2"/>
  <c r="Y40" i="2"/>
  <c r="S42" i="2" l="1"/>
  <c r="Y41" i="2"/>
  <c r="V41" i="2"/>
  <c r="AB41" i="2"/>
  <c r="S43" i="2" l="1"/>
  <c r="Y42" i="2"/>
  <c r="AB42" i="2"/>
  <c r="V42" i="2"/>
  <c r="S44" i="2" l="1"/>
  <c r="AB43" i="2"/>
  <c r="V43" i="2"/>
  <c r="Y43" i="2"/>
  <c r="S45" i="2" l="1"/>
  <c r="AB44" i="2"/>
  <c r="V44" i="2"/>
  <c r="Y44" i="2"/>
  <c r="S46" i="2" l="1"/>
  <c r="Y45" i="2"/>
  <c r="AB45" i="2"/>
  <c r="V45" i="2"/>
  <c r="S47" i="2" l="1"/>
  <c r="Y46" i="2"/>
  <c r="AB46" i="2"/>
  <c r="V46" i="2"/>
  <c r="S48" i="2" l="1"/>
  <c r="AB47" i="2"/>
  <c r="V47" i="2"/>
  <c r="Y47" i="2"/>
  <c r="S49" i="2" l="1"/>
  <c r="AB48" i="2"/>
  <c r="V48" i="2"/>
  <c r="Y48" i="2"/>
  <c r="S50" i="2" l="1"/>
  <c r="Y49" i="2"/>
  <c r="V49" i="2"/>
  <c r="AB49" i="2"/>
  <c r="S51" i="2" l="1"/>
  <c r="Y50" i="2"/>
  <c r="AB50" i="2"/>
  <c r="V50" i="2"/>
  <c r="S52" i="2" l="1"/>
  <c r="AB51" i="2"/>
  <c r="V51" i="2"/>
  <c r="Y51" i="2"/>
  <c r="S53" i="2" l="1"/>
  <c r="AB52" i="2"/>
  <c r="V52" i="2"/>
  <c r="Y52" i="2"/>
  <c r="S54" i="2" l="1"/>
  <c r="Y53" i="2"/>
  <c r="AB53" i="2"/>
  <c r="V53" i="2"/>
  <c r="S55" i="2" l="1"/>
  <c r="Y54" i="2"/>
  <c r="AB54" i="2"/>
  <c r="V54" i="2"/>
  <c r="S56" i="2" l="1"/>
  <c r="AB55" i="2"/>
  <c r="V55" i="2"/>
  <c r="Y55" i="2"/>
  <c r="S57" i="2" l="1"/>
  <c r="AB56" i="2"/>
  <c r="V56" i="2"/>
  <c r="Y56" i="2"/>
  <c r="S58" i="2" l="1"/>
  <c r="Y57" i="2"/>
  <c r="V57" i="2"/>
  <c r="AB57" i="2"/>
  <c r="S59" i="2" l="1"/>
  <c r="Y58" i="2"/>
  <c r="AB58" i="2"/>
  <c r="V58" i="2"/>
  <c r="S60" i="2" l="1"/>
  <c r="AB59" i="2"/>
  <c r="V59" i="2"/>
  <c r="Y59" i="2"/>
  <c r="S61" i="2" l="1"/>
  <c r="AB60" i="2"/>
  <c r="V60" i="2"/>
  <c r="Y60" i="2"/>
  <c r="S62" i="2" l="1"/>
  <c r="Y61" i="2"/>
  <c r="AB61" i="2"/>
  <c r="V61" i="2"/>
  <c r="S63" i="2" l="1"/>
  <c r="Y62" i="2"/>
  <c r="AB62" i="2"/>
  <c r="V62" i="2"/>
  <c r="S64" i="2" l="1"/>
  <c r="AB63" i="2"/>
  <c r="V63" i="2"/>
  <c r="Y63" i="2"/>
  <c r="S65" i="2" l="1"/>
  <c r="AB64" i="2"/>
  <c r="V64" i="2"/>
  <c r="Y64" i="2"/>
  <c r="S66" i="2" l="1"/>
  <c r="Y65" i="2"/>
  <c r="AB65" i="2"/>
  <c r="V65" i="2"/>
  <c r="S67" i="2" l="1"/>
  <c r="Y66" i="2"/>
  <c r="AB66" i="2"/>
  <c r="V66" i="2"/>
  <c r="S68" i="2" l="1"/>
  <c r="AB67" i="2"/>
  <c r="V67" i="2"/>
  <c r="Y67" i="2"/>
  <c r="S69" i="2" l="1"/>
  <c r="AB68" i="2"/>
  <c r="V68" i="2"/>
  <c r="Y68" i="2"/>
  <c r="S70" i="2" l="1"/>
  <c r="Y69" i="2"/>
  <c r="V69" i="2"/>
  <c r="AB69" i="2"/>
  <c r="S71" i="2" l="1"/>
  <c r="Y70" i="2"/>
  <c r="AB70" i="2"/>
  <c r="V70" i="2"/>
  <c r="S72" i="2" l="1"/>
  <c r="AB71" i="2"/>
  <c r="V71" i="2"/>
  <c r="Y71" i="2"/>
  <c r="S73" i="2" l="1"/>
  <c r="AB72" i="2"/>
  <c r="V72" i="2"/>
  <c r="Y72" i="2"/>
  <c r="S74" i="2" l="1"/>
  <c r="Y73" i="2"/>
  <c r="V73" i="2"/>
  <c r="AB73" i="2"/>
  <c r="S75" i="2" l="1"/>
  <c r="Y74" i="2"/>
  <c r="AB74" i="2"/>
  <c r="V74" i="2"/>
  <c r="S76" i="2" l="1"/>
  <c r="AB75" i="2"/>
  <c r="Y75" i="2"/>
  <c r="V75" i="2"/>
  <c r="S77" i="2" l="1"/>
  <c r="AB76" i="2"/>
  <c r="V76" i="2"/>
  <c r="Y76" i="2"/>
  <c r="S78" i="2" l="1"/>
  <c r="Y77" i="2"/>
  <c r="AB77" i="2"/>
  <c r="V77" i="2"/>
  <c r="S79" i="2" l="1"/>
  <c r="Y78" i="2"/>
  <c r="AB78" i="2"/>
  <c r="V78" i="2"/>
  <c r="S80" i="2" l="1"/>
  <c r="AB79" i="2"/>
  <c r="Y79" i="2"/>
  <c r="V79" i="2"/>
  <c r="S81" i="2" l="1"/>
  <c r="AB80" i="2"/>
  <c r="V80" i="2"/>
  <c r="Y80" i="2"/>
  <c r="S82" i="2" l="1"/>
  <c r="Y81" i="2"/>
  <c r="V81" i="2"/>
  <c r="AB81" i="2"/>
  <c r="S83" i="2" l="1"/>
  <c r="Y82" i="2"/>
  <c r="AB82" i="2"/>
  <c r="V82" i="2"/>
  <c r="S84" i="2" l="1"/>
  <c r="AB83" i="2"/>
  <c r="V83" i="2"/>
  <c r="Y83" i="2"/>
  <c r="S85" i="2" l="1"/>
  <c r="AB84" i="2"/>
  <c r="V84" i="2"/>
  <c r="Y84" i="2"/>
  <c r="S86" i="2" l="1"/>
  <c r="Y85" i="2"/>
  <c r="AB85" i="2"/>
  <c r="V85" i="2"/>
  <c r="S87" i="2" l="1"/>
  <c r="Y86" i="2"/>
  <c r="AB86" i="2"/>
  <c r="V86" i="2"/>
  <c r="S88" i="2" l="1"/>
  <c r="AB87" i="2"/>
  <c r="Y87" i="2"/>
  <c r="V87" i="2"/>
  <c r="S89" i="2" l="1"/>
  <c r="AB88" i="2"/>
  <c r="V88" i="2"/>
  <c r="Y88" i="2"/>
  <c r="S90" i="2" l="1"/>
  <c r="Y89" i="2"/>
  <c r="V89" i="2"/>
  <c r="AB89" i="2"/>
  <c r="S91" i="2" l="1"/>
  <c r="Y90" i="2"/>
  <c r="AB90" i="2"/>
  <c r="V90" i="2"/>
  <c r="S92" i="2" l="1"/>
  <c r="AB91" i="2"/>
  <c r="Y91" i="2"/>
  <c r="V91" i="2"/>
  <c r="S93" i="2" l="1"/>
  <c r="AB92" i="2"/>
  <c r="Y92" i="2"/>
  <c r="V92" i="2"/>
  <c r="S94" i="2" l="1"/>
  <c r="Y93" i="2"/>
  <c r="AB93" i="2"/>
  <c r="V93" i="2"/>
  <c r="S95" i="2" l="1"/>
  <c r="Y94" i="2"/>
  <c r="AB94" i="2"/>
  <c r="V94" i="2"/>
  <c r="S96" i="2" l="1"/>
  <c r="AB95" i="2"/>
  <c r="V95" i="2"/>
  <c r="Y95" i="2"/>
  <c r="S97" i="2" l="1"/>
  <c r="AB96" i="2"/>
  <c r="Y96" i="2"/>
  <c r="V96" i="2"/>
  <c r="S98" i="2" l="1"/>
  <c r="Y97" i="2"/>
  <c r="V97" i="2"/>
  <c r="AB97" i="2"/>
  <c r="S99" i="2" l="1"/>
  <c r="Y98" i="2"/>
  <c r="AB98" i="2"/>
  <c r="V98" i="2"/>
  <c r="S100" i="2" l="1"/>
  <c r="AB99" i="2"/>
  <c r="V99" i="2"/>
  <c r="Y99" i="2"/>
  <c r="S101" i="2" l="1"/>
  <c r="AB100" i="2"/>
  <c r="Y100" i="2"/>
  <c r="V100" i="2"/>
  <c r="S102" i="2" l="1"/>
  <c r="Y101" i="2"/>
  <c r="V101" i="2"/>
  <c r="AB101" i="2"/>
  <c r="S103" i="2" l="1"/>
  <c r="Y102" i="2"/>
  <c r="AB102" i="2"/>
  <c r="V102" i="2"/>
  <c r="S104" i="2" l="1"/>
  <c r="AB103" i="2"/>
  <c r="Y103" i="2"/>
  <c r="V103" i="2"/>
  <c r="S105" i="2" l="1"/>
  <c r="AB104" i="2"/>
  <c r="Y104" i="2"/>
  <c r="V104" i="2"/>
  <c r="S106" i="2" l="1"/>
  <c r="Y105" i="2"/>
  <c r="AB105" i="2"/>
  <c r="V105" i="2"/>
  <c r="S107" i="2" l="1"/>
  <c r="Y106" i="2"/>
  <c r="AB106" i="2"/>
  <c r="V106" i="2"/>
  <c r="S108" i="2" l="1"/>
  <c r="AB107" i="2"/>
  <c r="Y107" i="2"/>
  <c r="V107" i="2"/>
  <c r="S109" i="2" l="1"/>
  <c r="AB108" i="2"/>
  <c r="Y108" i="2"/>
  <c r="V108" i="2"/>
  <c r="S110" i="2" l="1"/>
  <c r="Y109" i="2"/>
  <c r="AB109" i="2"/>
  <c r="V109" i="2"/>
  <c r="S111" i="2" l="1"/>
  <c r="Y110" i="2"/>
  <c r="AB110" i="2"/>
  <c r="V110" i="2"/>
  <c r="S112" i="2" l="1"/>
  <c r="AB111" i="2"/>
  <c r="V111" i="2"/>
  <c r="Y111" i="2"/>
  <c r="S113" i="2" l="1"/>
  <c r="AB112" i="2"/>
  <c r="Y112" i="2"/>
  <c r="V112" i="2"/>
  <c r="S114" i="2" l="1"/>
  <c r="Y113" i="2"/>
  <c r="V113" i="2"/>
  <c r="AB113" i="2"/>
  <c r="S115" i="2" l="1"/>
  <c r="Y114" i="2"/>
  <c r="AB114" i="2"/>
  <c r="V114" i="2"/>
  <c r="S116" i="2" l="1"/>
  <c r="AB115" i="2"/>
  <c r="Y115" i="2"/>
  <c r="V115" i="2"/>
  <c r="S117" i="2" l="1"/>
  <c r="AB116" i="2"/>
  <c r="Y116" i="2"/>
  <c r="V116" i="2"/>
  <c r="S118" i="2" l="1"/>
  <c r="Y117" i="2"/>
  <c r="AB117" i="2"/>
  <c r="V117" i="2"/>
  <c r="S119" i="2" l="1"/>
  <c r="Y118" i="2"/>
  <c r="AB118" i="2"/>
  <c r="V118" i="2"/>
  <c r="AB119" i="2" l="1"/>
  <c r="Y119" i="2"/>
  <c r="V119" i="2"/>
</calcChain>
</file>

<file path=xl/sharedStrings.xml><?xml version="1.0" encoding="utf-8"?>
<sst xmlns="http://schemas.openxmlformats.org/spreadsheetml/2006/main" count="554" uniqueCount="201">
  <si>
    <t>Z</t>
  </si>
  <si>
    <t>V_ref</t>
  </si>
  <si>
    <t>Height (m)</t>
  </si>
  <si>
    <t>Velocity (m/s)</t>
  </si>
  <si>
    <t>Line 0</t>
  </si>
  <si>
    <t>22.5 - 112.4</t>
  </si>
  <si>
    <t>112.5 - 202.4</t>
  </si>
  <si>
    <t>202.5 - 292.4</t>
  </si>
  <si>
    <t>292.5 - 22.4</t>
  </si>
  <si>
    <t>Line 1</t>
  </si>
  <si>
    <t>Line 2</t>
  </si>
  <si>
    <t>Line 3</t>
  </si>
  <si>
    <t>NNE - 22.5</t>
  </si>
  <si>
    <t>NE - 45</t>
  </si>
  <si>
    <t>ENE - 67.5</t>
  </si>
  <si>
    <t>E - 90</t>
  </si>
  <si>
    <t>ESE - 112.5</t>
  </si>
  <si>
    <t>SE - 135</t>
  </si>
  <si>
    <t>SSE -157.5</t>
  </si>
  <si>
    <t>S - 180</t>
  </si>
  <si>
    <t>SSW - 202.5</t>
  </si>
  <si>
    <t>SW - 225</t>
  </si>
  <si>
    <t>WSW - 247.5</t>
  </si>
  <si>
    <t>W - 270</t>
  </si>
  <si>
    <t>WNW - 292.5</t>
  </si>
  <si>
    <t>NW - 315</t>
  </si>
  <si>
    <t>NNW 337.5</t>
  </si>
  <si>
    <t>N - 0</t>
  </si>
  <si>
    <t>Case No.</t>
  </si>
  <si>
    <t>Wind Direction</t>
  </si>
  <si>
    <t>Angle</t>
  </si>
  <si>
    <t>n Vaule</t>
  </si>
  <si>
    <t>N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</si>
  <si>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</si>
  <si>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</si>
  <si>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</si>
  <si>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</si>
  <si>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</si>
  <si>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</si>
  <si>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</si>
  <si>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</si>
  <si>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</si>
  <si>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</si>
  <si>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</si>
  <si>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W</t>
  </si>
  <si>
    <t>WNW</t>
  </si>
  <si>
    <t>NW</t>
  </si>
  <si>
    <t>NNW</t>
  </si>
  <si>
    <t>// STAR-CCM+ macro: changedirection.java</t>
  </si>
  <si>
    <t>package macro;</t>
  </si>
  <si>
    <t>import java.util.*;</t>
  </si>
  <si>
    <t>import star.common.*;</t>
  </si>
  <si>
    <t>import star.base.neo.*;</t>
  </si>
  <si>
    <t>import star.vis.*;</t>
  </si>
  <si>
    <t>import star.flow.*;</t>
  </si>
  <si>
    <t xml:space="preserve">  public void execute() {</t>
  </si>
  <si>
    <t xml:space="preserve">    Setboundary();</t>
  </si>
  <si>
    <t xml:space="preserve">  }</t>
  </si>
  <si>
    <t xml:space="preserve">  </t>
  </si>
  <si>
    <t xml:space="preserve">  private void Setboundary() {</t>
  </si>
  <si>
    <t xml:space="preserve">    String body = "INNER";</t>
  </si>
  <si>
    <t xml:space="preserve">    </t>
  </si>
  <si>
    <t xml:space="preserve">    //SetWindProfile(DON'T CHANGE,Reference Height,Reference Velocity,Exponent n, Wind angle</t>
  </si>
  <si>
    <t xml:space="preserve">    // North = 0, East = 90, South = 180, West = 270</t>
  </si>
  <si>
    <t xml:space="preserve">    SetWindProfile(body,"0","0.15");</t>
  </si>
  <si>
    <t xml:space="preserve">    SetWindProfile(body,"22.5","0.15");</t>
  </si>
  <si>
    <t xml:space="preserve">    SetWindProfile(body,"45","0.15");</t>
  </si>
  <si>
    <t xml:space="preserve">    SetWindProfile(body,"67.5","0.15");</t>
  </si>
  <si>
    <t xml:space="preserve">    SetWindProfile(body,"90","0.15");</t>
  </si>
  <si>
    <t xml:space="preserve">    SetWindProfile(body,"112.5","0.15");</t>
  </si>
  <si>
    <t xml:space="preserve">    SetWindProfile(body,"135","0.15");</t>
  </si>
  <si>
    <t xml:space="preserve">    SetWindProfile(body,"157.5","0.15");</t>
  </si>
  <si>
    <t xml:space="preserve">    SetWindProfile(body,"180","0.15");</t>
  </si>
  <si>
    <t xml:space="preserve">    SetWindProfile(body,"202.5","0.15");</t>
  </si>
  <si>
    <t xml:space="preserve">    SetWindProfile(body,"225","0.15");</t>
  </si>
  <si>
    <t xml:space="preserve">    SetWindProfile(body,"247.5","0.15");</t>
  </si>
  <si>
    <t xml:space="preserve">    SetWindProfile(body,"270","0.15");</t>
  </si>
  <si>
    <t xml:space="preserve">    SetWindProfile(body,"292.5","0.15");</t>
  </si>
  <si>
    <t xml:space="preserve">    SetWindProfile(body,"315","0.15");</t>
  </si>
  <si>
    <t xml:space="preserve">    SetWindProfile(body,"337.5","0.15");</t>
  </si>
  <si>
    <t xml:space="preserve">  private void SetWindProfile(String body, String windangle, String expo) {</t>
  </si>
  <si>
    <t xml:space="preserve">      </t>
  </si>
  <si>
    <t xml:space="preserve">    Double ang = Double.parseDouble(windangle); </t>
  </si>
  <si>
    <t xml:space="preserve">    //Setting Wind profile</t>
  </si>
  <si>
    <t xml:space="preserve">    Simulation simulation_0 = getActiveSimulation();</t>
  </si>
  <si>
    <t xml:space="preserve">    UserFieldFunction temp1 = ((UserFieldFunction) simulation_0.getFieldFunctionManager().getFunction("n"));</t>
  </si>
  <si>
    <t xml:space="preserve">    temp1.setDefinition(expo);</t>
  </si>
  <si>
    <t xml:space="preserve">    UserFieldFunction temp2 = ((UserFieldFunction) simulation_0.getFieldFunctionManager().getFunction("Angle"));</t>
  </si>
  <si>
    <t xml:space="preserve">    temp2.setDefinition(windangle);</t>
  </si>
  <si>
    <t xml:space="preserve">    changeBC(body,ang,windangle);     //Change BC according to wind angle</t>
  </si>
  <si>
    <t xml:space="preserve">    ReinitializeField();    //Set WindProfile as initial field</t>
  </si>
  <si>
    <t xml:space="preserve">    savecase(windangle);    //Save Case file</t>
  </si>
  <si>
    <t>private void changeBC(String body,Double ang, String windangle){</t>
  </si>
  <si>
    <t xml:space="preserve">    if (ang == 0 || ang == 360){</t>
  </si>
  <si>
    <t xml:space="preserve">        SetInlet(body,"N",windangle);</t>
  </si>
  <si>
    <t xml:space="preserve">        SetSymmetry(body,"E");</t>
  </si>
  <si>
    <t xml:space="preserve">        SetPressure(body,"S");</t>
  </si>
  <si>
    <t xml:space="preserve">        SetSymmetry(body,"W");</t>
  </si>
  <si>
    <t xml:space="preserve">    }else if(ang == 90){</t>
  </si>
  <si>
    <t xml:space="preserve">        SetSymmetry(body,"N");</t>
  </si>
  <si>
    <t xml:space="preserve">        SetInlet(body,"E",windangle);</t>
  </si>
  <si>
    <t xml:space="preserve">        SetSymmetry(body,"S");</t>
  </si>
  <si>
    <t xml:space="preserve">        SetPressure(body,"W");</t>
  </si>
  <si>
    <t xml:space="preserve">    }else if(ang == 180){</t>
  </si>
  <si>
    <t xml:space="preserve">        SetPressure(body,"N");</t>
  </si>
  <si>
    <t xml:space="preserve">        SetInlet(body,"S",windangle);</t>
  </si>
  <si>
    <t xml:space="preserve">    }else if(ang == 270){</t>
  </si>
  <si>
    <t xml:space="preserve">        SetPressure(body,"E");</t>
  </si>
  <si>
    <t xml:space="preserve">        SetInlet(body,"W",windangle);</t>
  </si>
  <si>
    <t xml:space="preserve">    }else if(ang &gt;0 &amp;&amp; ang &lt; 90){</t>
  </si>
  <si>
    <t xml:space="preserve">    }else if(ang &gt;90 &amp;&amp; ang &lt; 180){</t>
  </si>
  <si>
    <t xml:space="preserve">    }else if(ang &gt;180 &amp;&amp; ang &lt; 270){</t>
  </si>
  <si>
    <t xml:space="preserve">    }else if(ang &gt;270 &amp;&amp; ang &lt; 360){</t>
  </si>
  <si>
    <t xml:space="preserve">    }</t>
  </si>
  <si>
    <t xml:space="preserve">  private void SetInlet(String body, String direction, String windangle){</t>
  </si>
  <si>
    <t xml:space="preserve">    //setinlet</t>
  </si>
  <si>
    <t xml:space="preserve">    Simulation simulation_0 = </t>
  </si>
  <si>
    <t xml:space="preserve">      getActiveSimulation();</t>
  </si>
  <si>
    <t xml:space="preserve">    Region region_0 = </t>
  </si>
  <si>
    <t xml:space="preserve">      simulation_0.getRegionManager().getRegion(body);</t>
  </si>
  <si>
    <t xml:space="preserve">    Boundary boundary_0 = </t>
  </si>
  <si>
    <t xml:space="preserve">      region_0.getBoundaryManager().getBoundary(direction);</t>
  </si>
  <si>
    <t xml:space="preserve">    boundary_0.setBoundaryType(InletBoundary.class);</t>
  </si>
  <si>
    <t xml:space="preserve">    boundary_0.getConditions().get(InletVelocityOption.class).setSelected(InletVelocityOption.COMPONENTS);</t>
  </si>
  <si>
    <t xml:space="preserve">    Double windangle_value = Double.parseDouble(windangle);</t>
  </si>
  <si>
    <t xml:space="preserve">if(windangle_value &gt;= 22.5 &amp;&amp; windangle_value &lt; 112.4){  </t>
  </si>
  <si>
    <t xml:space="preserve">    VelocityProfile velocityProfile_0 = boundary_0.getValues().get(VelocityProfile.class);</t>
  </si>
  <si>
    <t xml:space="preserve">    velocityProfile_0.setMethod(FunctionVectorProfileMethod.class);</t>
  </si>
  <si>
    <t xml:space="preserve">    UserFieldFunction userFieldFunction_0 = ((UserFieldFunction) simulation_0.getFieldFunctionManager().getFunction("WindProfile_Line_0"));</t>
  </si>
  <si>
    <t xml:space="preserve">    velocityProfile_0.getMethod(FunctionVectorProfileMethod.class).setFieldFunction(userFieldFunction_0);</t>
  </si>
  <si>
    <t>}else if(windangle_value &gt;= 112.5 &amp;&amp; windangle_value &lt; 202.4){</t>
  </si>
  <si>
    <t xml:space="preserve">    UserFieldFunction userFieldFunction_1 = ((UserFieldFunction) simulation_0.getFieldFunctionManager().getFunction("WindProfile_Line_1"));</t>
  </si>
  <si>
    <t xml:space="preserve">    velocityProfile_0.getMethod(FunctionVectorProfileMethod.class).setFieldFunction(userFieldFunction_1);</t>
  </si>
  <si>
    <t>}else if(windangle_value &gt;= 202.5 &amp;&amp; windangle_value &lt; 292.4){</t>
  </si>
  <si>
    <t xml:space="preserve">    UserFieldFunction userFieldFunction_2 = ((UserFieldFunction) simulation_0.getFieldFunctionManager().getFunction("WindProfile_Line_2"));</t>
  </si>
  <si>
    <t xml:space="preserve">    velocityProfile_0.getMethod(FunctionVectorProfileMethod.class).setFieldFunction(userFieldFunction_2);</t>
  </si>
  <si>
    <t>}else{</t>
  </si>
  <si>
    <t xml:space="preserve">    UserFieldFunction userFieldFunction_3 = ((UserFieldFunction) simulation_0.getFieldFunctionManager().getFunction("WindProfile_Line_3"));</t>
  </si>
  <si>
    <t xml:space="preserve">    velocityProfile_0.getMethod(FunctionVectorProfileMethod.class).setFieldFunction(userFieldFunction_3);</t>
  </si>
  <si>
    <t>}</t>
  </si>
  <si>
    <t xml:space="preserve">  private void SetPressure(String body, String direction){</t>
  </si>
  <si>
    <t>//set pressure</t>
  </si>
  <si>
    <t xml:space="preserve">    Boundary boundary_1 = </t>
  </si>
  <si>
    <t xml:space="preserve">    boundary_1.setBoundaryType(PressureBoundary.class);</t>
  </si>
  <si>
    <t xml:space="preserve">  private void SetSymmetry(String body, String direction){</t>
  </si>
  <si>
    <t xml:space="preserve">    boundary_1.setBoundaryType(SymmetryBoundary.class);</t>
  </si>
  <si>
    <t xml:space="preserve">  }      </t>
  </si>
  <si>
    <t xml:space="preserve">  private void ReinitializeField(){</t>
  </si>
  <si>
    <t xml:space="preserve">    Solution solution_0 = </t>
  </si>
  <si>
    <t xml:space="preserve">      simulation_0.getSolution();</t>
  </si>
  <si>
    <t xml:space="preserve">    solution_0.clearSolution();</t>
  </si>
  <si>
    <t xml:space="preserve">    solution_0.initializeSolution();</t>
  </si>
  <si>
    <t xml:space="preserve">  private void savecase(String windangle){</t>
  </si>
  <si>
    <t xml:space="preserve">    simulation_0.saveState(resolvePath("\\case_"+ windangle+".sim"));</t>
  </si>
  <si>
    <t>public class Generate_CCM_Case extends StarMacro {</t>
  </si>
  <si>
    <t>SetWindProfile(body,"0","0.15");</t>
  </si>
  <si>
    <t>SetWindProfile(body,"135","0.35");</t>
  </si>
  <si>
    <t>SetWindProfile(body,"202.5","0.32");</t>
  </si>
  <si>
    <t>SetWindProfile(body,"292.5","0.15");</t>
  </si>
  <si>
    <t>SetWindProfile(body,"315","0.15");</t>
  </si>
  <si>
    <t xml:space="preserve">    UserFieldFunction userFieldFunction_4 = ((UserFieldFunction) simulation_0.getFieldFunctionManager().getFunction("WindProfile_Line_4"));</t>
  </si>
  <si>
    <t xml:space="preserve">    velocityProfile_0.getMethod(FunctionVectorProfileMethod.class).setFieldFunction(userFieldFunction_4);</t>
  </si>
  <si>
    <t xml:space="preserve">    UserFieldFunction userFieldFunction_5 = ((UserFieldFunction) simulation_0.getFieldFunctionManager().getFunction("WindProfile_Line_5"));</t>
  </si>
  <si>
    <t xml:space="preserve">    velocityProfile_0.getMethod(FunctionVectorProfileMethod.class).setFieldFunction(userFieldFunction_5);</t>
  </si>
  <si>
    <t xml:space="preserve">    UserFieldFunction userFieldFunction_6 = ((UserFieldFunction) simulation_0.getFieldFunctionManager().getFunction("WindProfile_Line_6"));</t>
  </si>
  <si>
    <t xml:space="preserve">    velocityProfile_0.getMethod(FunctionVectorProfileMethod.class).setFieldFunction(userFieldFunction_6);</t>
  </si>
  <si>
    <t xml:space="preserve">    UserFieldFunction userFieldFunction_7 = ((UserFieldFunction) simulation_0.getFieldFunctionManager().getFunction("WindProfile_Line_7"));</t>
  </si>
  <si>
    <t xml:space="preserve">    velocityProfile_0.getMethod(FunctionVectorProfileMethod.class).setFieldFunction(userFieldFunction_7);</t>
  </si>
  <si>
    <t xml:space="preserve">    UserFieldFunction userFieldFunction_8 = ((UserFieldFunction) simulation_0.getFieldFunctionManager().getFunction("WindProfile_Line_8"));</t>
  </si>
  <si>
    <t xml:space="preserve">    velocityProfile_0.getMethod(FunctionVectorProfileMethod.class).setFieldFunction(userFieldFunction_8);</t>
  </si>
  <si>
    <t xml:space="preserve">    UserFieldFunction userFieldFunction_9 = ((UserFieldFunction) simulation_0.getFieldFunctionManager().getFunction("WindProfile_Line_9"));</t>
  </si>
  <si>
    <t xml:space="preserve">    velocityProfile_0.getMethod(FunctionVectorProfileMethod.class).setFieldFunction(userFieldFunction_9);</t>
  </si>
  <si>
    <t xml:space="preserve">    UserFieldFunction userFieldFunction_10 = ((UserFieldFunction) simulation_0.getFieldFunctionManager().getFunction("WindProfile_Line_10"));</t>
  </si>
  <si>
    <t xml:space="preserve">    velocityProfile_0.getMethod(FunctionVectorProfileMethod.class).setFieldFunction(userFieldFunction_10);</t>
  </si>
  <si>
    <t xml:space="preserve">    UserFieldFunction userFieldFunction_11 = ((UserFieldFunction) simulation_0.getFieldFunctionManager().getFunction("WindProfile_Line_11"));</t>
  </si>
  <si>
    <t xml:space="preserve">    velocityProfile_0.getMethod(FunctionVectorProfileMethod.class).setFieldFunction(userFieldFunction_11);</t>
  </si>
  <si>
    <t xml:space="preserve">    UserFieldFunction userFieldFunction_12 = ((UserFieldFunction) simulation_0.getFieldFunctionManager().getFunction("WindProfile_Line_12"));</t>
  </si>
  <si>
    <t xml:space="preserve">    velocityProfile_0.getMethod(FunctionVectorProfileMethod.class).setFieldFunction(userFieldFunction_12);</t>
  </si>
  <si>
    <t xml:space="preserve">    UserFieldFunction userFieldFunction_13 = ((UserFieldFunction) simulation_0.getFieldFunctionManager().getFunction("WindProfile_Line_13"));</t>
  </si>
  <si>
    <t xml:space="preserve">    velocityProfile_0.getMethod(FunctionVectorProfileMethod.class).setFieldFunction(userFieldFunction_13);</t>
  </si>
  <si>
    <t xml:space="preserve">    UserFieldFunction userFieldFunction_14 = ((UserFieldFunction) simulation_0.getFieldFunctionManager().getFunction("WindProfile_Line_14"));</t>
  </si>
  <si>
    <t xml:space="preserve">    velocityProfile_0.getMethod(FunctionVectorProfileMethod.class).setFieldFunction(userFieldFunction_14);</t>
  </si>
  <si>
    <t xml:space="preserve">    UserFieldFunction userFieldFunction_15 = ((UserFieldFunction) simulation_0.getFieldFunctionManager().getFunction("WindProfile_Line_15"));</t>
  </si>
  <si>
    <t xml:space="preserve">    velocityProfile_0.getMethod(FunctionVectorProfileMethod.class).setFieldFunction(userFieldFunction_15);</t>
  </si>
  <si>
    <t xml:space="preserve">    UserFieldFunction userFieldFunction_16 = ((UserFieldFunction) simulation_0.getFieldFunctionManager().getFunction("WindProfile_Line_16"));</t>
  </si>
  <si>
    <t xml:space="preserve">    velocityProfile_0.getMethod(FunctionVectorProfileMethod.class).setFieldFunction(userFieldFunction_16);</t>
  </si>
  <si>
    <t xml:space="preserve">if(windangle_value == 0){  </t>
  </si>
  <si>
    <t>}else if(windangle_value == 22.5 ){</t>
  </si>
  <si>
    <t>}else if(windangle_value == 45 ){</t>
  </si>
  <si>
    <t>}else if(windangle_value == 67.5 ){</t>
  </si>
  <si>
    <t>}else if(windangle_value == 90 ){</t>
  </si>
  <si>
    <t>}else if(windangle_value == 112.5 ){</t>
  </si>
  <si>
    <t>}else if(windangle_value ==135 ){</t>
  </si>
  <si>
    <t>}else if(windangle_value == 157.5 ){</t>
  </si>
  <si>
    <t>}else if(windangle_value == 180 ){</t>
  </si>
  <si>
    <t>}else if(windangle_value == 202.5 ){</t>
  </si>
  <si>
    <t>}else if(windangle_value == 225 ){</t>
  </si>
  <si>
    <t>}else if(windangle_value == 247.5 ){</t>
  </si>
  <si>
    <t>}else if(windangle_value == 270 ){</t>
  </si>
  <si>
    <t>}else if(windangle_value == 292.5 ){</t>
  </si>
  <si>
    <t>}else if(windangle_value == 315 ){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</si>
</sst>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2"/>
      <color theme="1"/>
      <name val="Calibri"/>
      <family val="2"/>
      <scheme val="minor"/>
    </font>
    <font>
      <sz val="24"/>
      <color rgb="FF000000"/>
      <name val="Times New Roman"/>
      <family val="1"/>
    </font>
    <font>
      <sz val="16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3105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90645760656713E-2"/>
          <c:y val="7.9176930278836294E-2"/>
          <c:w val="0.83879969177267177"/>
          <c:h val="0.81751674139087105"/>
        </c:manualLayout>
      </c:layout>
      <c:scatterChart>
        <c:scatterStyle val="smoothMarker"/>
        <c:varyColors val="0"/>
        <c:ser>
          <c:idx val="0"/>
          <c:order val="0"/>
          <c:tx>
            <c:v>Line_0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3105EB"/>
              </a:solidFill>
              <a:ln w="9525">
                <a:noFill/>
              </a:ln>
              <a:effectLst/>
            </c:spPr>
          </c:marker>
          <c:xVal>
            <c:numRef>
              <c:f>RAMS!$T$10:$T$110</c:f>
              <c:numCache>
                <c:formatCode>0.00</c:formatCode>
                <c:ptCount val="101"/>
                <c:pt idx="0">
                  <c:v>0</c:v>
                </c:pt>
                <c:pt idx="1">
                  <c:v>2.0728760640049093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2.5499999999999998</c:v>
                </c:pt>
                <c:pt idx="6">
                  <c:v>2.6</c:v>
                </c:pt>
                <c:pt idx="7">
                  <c:v>2.6749999999999998</c:v>
                </c:pt>
                <c:pt idx="8">
                  <c:v>2.75</c:v>
                </c:pt>
                <c:pt idx="9">
                  <c:v>2.8250000000000002</c:v>
                </c:pt>
                <c:pt idx="10">
                  <c:v>2.9</c:v>
                </c:pt>
                <c:pt idx="11">
                  <c:v>2.98</c:v>
                </c:pt>
                <c:pt idx="12">
                  <c:v>3.06</c:v>
                </c:pt>
                <c:pt idx="13">
                  <c:v>3.1399999999999997</c:v>
                </c:pt>
                <c:pt idx="14">
                  <c:v>3.2199999999999998</c:v>
                </c:pt>
                <c:pt idx="15">
                  <c:v>3.3</c:v>
                </c:pt>
                <c:pt idx="16">
                  <c:v>3.38</c:v>
                </c:pt>
                <c:pt idx="17">
                  <c:v>3.46</c:v>
                </c:pt>
                <c:pt idx="18">
                  <c:v>3.54</c:v>
                </c:pt>
                <c:pt idx="19">
                  <c:v>3.62</c:v>
                </c:pt>
                <c:pt idx="20">
                  <c:v>3.7</c:v>
                </c:pt>
                <c:pt idx="21">
                  <c:v>3.7815000000000003</c:v>
                </c:pt>
                <c:pt idx="22">
                  <c:v>3.863</c:v>
                </c:pt>
                <c:pt idx="23">
                  <c:v>3.9445000000000001</c:v>
                </c:pt>
                <c:pt idx="24">
                  <c:v>4.0259999999999998</c:v>
                </c:pt>
                <c:pt idx="25">
                  <c:v>4.1074999999999999</c:v>
                </c:pt>
                <c:pt idx="26">
                  <c:v>4.1890000000000001</c:v>
                </c:pt>
                <c:pt idx="27">
                  <c:v>4.2705000000000002</c:v>
                </c:pt>
                <c:pt idx="28">
                  <c:v>4.3520000000000003</c:v>
                </c:pt>
                <c:pt idx="29">
                  <c:v>4.4335000000000004</c:v>
                </c:pt>
                <c:pt idx="30">
                  <c:v>4.5150000000000006</c:v>
                </c:pt>
                <c:pt idx="31">
                  <c:v>4.5964999999999998</c:v>
                </c:pt>
                <c:pt idx="32">
                  <c:v>4.6779999999999999</c:v>
                </c:pt>
                <c:pt idx="33">
                  <c:v>4.7595000000000001</c:v>
                </c:pt>
                <c:pt idx="34">
                  <c:v>4.8410000000000002</c:v>
                </c:pt>
                <c:pt idx="35">
                  <c:v>4.9225000000000003</c:v>
                </c:pt>
                <c:pt idx="36">
                  <c:v>5.0039999999999996</c:v>
                </c:pt>
                <c:pt idx="37">
                  <c:v>5.0854999999999997</c:v>
                </c:pt>
                <c:pt idx="38">
                  <c:v>5.1669999999999998</c:v>
                </c:pt>
                <c:pt idx="39">
                  <c:v>5.2484999999999999</c:v>
                </c:pt>
                <c:pt idx="40">
                  <c:v>5.33</c:v>
                </c:pt>
                <c:pt idx="41">
                  <c:v>5.4083333333333332</c:v>
                </c:pt>
                <c:pt idx="42">
                  <c:v>5.4866666666666664</c:v>
                </c:pt>
                <c:pt idx="43">
                  <c:v>5.5649999999999995</c:v>
                </c:pt>
                <c:pt idx="44">
                  <c:v>5.6433333333333335</c:v>
                </c:pt>
                <c:pt idx="45">
                  <c:v>5.7216666666666667</c:v>
                </c:pt>
                <c:pt idx="46">
                  <c:v>5.8</c:v>
                </c:pt>
                <c:pt idx="47">
                  <c:v>5.85</c:v>
                </c:pt>
                <c:pt idx="48">
                  <c:v>5.9</c:v>
                </c:pt>
                <c:pt idx="49">
                  <c:v>5.95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</c:numCache>
            </c:numRef>
          </c:xVal>
          <c:yVal>
            <c:numRef>
              <c:f>RAMS!$S$10:$S$110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yVal>
          <c:smooth val="1"/>
        </c:ser>
        <c:ser>
          <c:idx val="1"/>
          <c:order val="1"/>
          <c:tx>
            <c:v>Line_1</c:v>
          </c:tx>
          <c:spPr>
            <a:ln w="19050" cap="rnd">
              <a:noFill/>
              <a:prstDash val="lgDash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RAMS!$W$10:$W$110</c:f>
              <c:numCache>
                <c:formatCode>0.00</c:formatCode>
                <c:ptCount val="101"/>
              </c:numCache>
            </c:numRef>
          </c:xVal>
          <c:yVal>
            <c:numRef>
              <c:f>RAMS!$V$10:$V$110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yVal>
          <c:smooth val="1"/>
        </c:ser>
        <c:ser>
          <c:idx val="2"/>
          <c:order val="2"/>
          <c:tx>
            <c:v>Line_2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RAMS!$Z$10:$Z$110</c:f>
              <c:numCache>
                <c:formatCode>0.00</c:formatCode>
                <c:ptCount val="101"/>
              </c:numCache>
            </c:numRef>
          </c:xVal>
          <c:yVal>
            <c:numRef>
              <c:f>RAMS!$Y$10:$Y$110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yVal>
          <c:smooth val="1"/>
        </c:ser>
        <c:ser>
          <c:idx val="3"/>
          <c:order val="3"/>
          <c:tx>
            <c:v>Line_3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diamond"/>
            <c:size val="6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xVal>
            <c:numRef>
              <c:f>RAMS!$AC$10:$AC$110</c:f>
              <c:numCache>
                <c:formatCode>0.00</c:formatCode>
                <c:ptCount val="101"/>
              </c:numCache>
            </c:numRef>
          </c:xVal>
          <c:yVal>
            <c:numRef>
              <c:f>RAMS!$AB$10:$AB$110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429856"/>
        <c:axId val="693430416"/>
      </c:scatterChart>
      <c:valAx>
        <c:axId val="693429856"/>
        <c:scaling>
          <c:orientation val="minMax"/>
          <c:max val="1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in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430416"/>
        <c:crosses val="autoZero"/>
        <c:crossBetween val="midCat"/>
        <c:majorUnit val="1"/>
        <c:minorUnit val="0.5"/>
      </c:valAx>
      <c:valAx>
        <c:axId val="69343041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in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42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189958844632621"/>
          <c:y val="0.68242798220075473"/>
          <c:w val="0.36137639808558664"/>
          <c:h val="3.826356966209997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716869</xdr:colOff>
      <xdr:row>29</xdr:row>
      <xdr:rowOff>60893</xdr:rowOff>
    </xdr:from>
    <xdr:to>
      <xdr:col>17</xdr:col>
      <xdr:colOff>175980</xdr:colOff>
      <xdr:row>78</xdr:row>
      <xdr:rowOff>60893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949" y="6177806"/>
          <a:ext cx="8367846" cy="99909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25</xdr:row>
          <xdr:rowOff>85725</xdr:rowOff>
        </xdr:from>
        <xdr:to>
          <xdr:col>9</xdr:col>
          <xdr:colOff>514350</xdr:colOff>
          <xdr:row>28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773827</xdr:colOff>
      <xdr:row>29</xdr:row>
      <xdr:rowOff>119406</xdr:rowOff>
    </xdr:from>
    <xdr:to>
      <xdr:col>17</xdr:col>
      <xdr:colOff>39671</xdr:colOff>
      <xdr:row>63</xdr:row>
      <xdr:rowOff>166070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209550</xdr:colOff>
          <xdr:row>25</xdr:row>
          <xdr:rowOff>47625</xdr:rowOff>
        </xdr:from>
        <xdr:to>
          <xdr:col>16</xdr:col>
          <xdr:colOff>76200</xdr:colOff>
          <xdr:row>28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797494</xdr:colOff>
      <xdr:row>29</xdr:row>
      <xdr:rowOff>137518</xdr:rowOff>
    </xdr:from>
    <xdr:to>
      <xdr:col>17</xdr:col>
      <xdr:colOff>60893</xdr:colOff>
      <xdr:row>77</xdr:row>
      <xdr:rowOff>140799</xdr:rowOff>
    </xdr:to>
    <xdr:grpSp>
      <xdr:nvGrpSpPr>
        <xdr:cNvPr id="6" name="Group 5"/>
        <xdr:cNvGrpSpPr/>
      </xdr:nvGrpSpPr>
      <xdr:grpSpPr>
        <a:xfrm>
          <a:off x="3182826" y="6247125"/>
          <a:ext cx="8008710" cy="9800424"/>
          <a:chOff x="11590763" y="636337"/>
          <a:chExt cx="8293683" cy="9922619"/>
        </a:xfrm>
      </xdr:grpSpPr>
      <xdr:sp macro="" textlink="">
        <xdr:nvSpPr>
          <xdr:cNvPr id="7" name="Rectangle 6"/>
          <xdr:cNvSpPr/>
        </xdr:nvSpPr>
        <xdr:spPr>
          <a:xfrm>
            <a:off x="11590763" y="636337"/>
            <a:ext cx="8293683" cy="9922619"/>
          </a:xfrm>
          <a:prstGeom prst="rect">
            <a:avLst/>
          </a:prstGeom>
          <a:noFill/>
          <a:ln w="158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8" name="Straight Connector 7"/>
          <xdr:cNvCxnSpPr/>
        </xdr:nvCxnSpPr>
        <xdr:spPr>
          <a:xfrm>
            <a:off x="13205136" y="5780454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/>
          <xdr:cNvCxnSpPr/>
        </xdr:nvCxnSpPr>
        <xdr:spPr>
          <a:xfrm>
            <a:off x="13178593" y="6010688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/>
          <xdr:cNvCxnSpPr/>
        </xdr:nvCxnSpPr>
        <xdr:spPr>
          <a:xfrm>
            <a:off x="13211772" y="6232313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/>
          <xdr:cNvCxnSpPr/>
        </xdr:nvCxnSpPr>
        <xdr:spPr>
          <a:xfrm>
            <a:off x="13191865" y="6471156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/>
          <xdr:cNvCxnSpPr/>
        </xdr:nvCxnSpPr>
        <xdr:spPr>
          <a:xfrm>
            <a:off x="13191865" y="6701392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33</xdr:row>
          <xdr:rowOff>0</xdr:rowOff>
        </xdr:from>
        <xdr:to>
          <xdr:col>15</xdr:col>
          <xdr:colOff>600075</xdr:colOff>
          <xdr:row>34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Display Line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34</xdr:row>
          <xdr:rowOff>200025</xdr:rowOff>
        </xdr:from>
        <xdr:to>
          <xdr:col>15</xdr:col>
          <xdr:colOff>600075</xdr:colOff>
          <xdr:row>36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Display Line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36</xdr:row>
          <xdr:rowOff>152400</xdr:rowOff>
        </xdr:from>
        <xdr:to>
          <xdr:col>15</xdr:col>
          <xdr:colOff>600075</xdr:colOff>
          <xdr:row>38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Display Line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38</xdr:row>
          <xdr:rowOff>123825</xdr:rowOff>
        </xdr:from>
        <xdr:to>
          <xdr:col>15</xdr:col>
          <xdr:colOff>590550</xdr:colOff>
          <xdr:row>39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Display Line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21</xdr:row>
          <xdr:rowOff>9525</xdr:rowOff>
        </xdr:from>
        <xdr:to>
          <xdr:col>2</xdr:col>
          <xdr:colOff>657225</xdr:colOff>
          <xdr:row>23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3081</xdr:colOff>
      <xdr:row>39</xdr:row>
      <xdr:rowOff>187930</xdr:rowOff>
    </xdr:from>
    <xdr:to>
      <xdr:col>10</xdr:col>
      <xdr:colOff>369702</xdr:colOff>
      <xdr:row>60</xdr:row>
      <xdr:rowOff>73941</xdr:rowOff>
    </xdr:to>
    <xdr:grpSp>
      <xdr:nvGrpSpPr>
        <xdr:cNvPr id="4" name="Group 3"/>
        <xdr:cNvGrpSpPr/>
      </xdr:nvGrpSpPr>
      <xdr:grpSpPr>
        <a:xfrm>
          <a:off x="2923738" y="8567876"/>
          <a:ext cx="3669307" cy="4285482"/>
          <a:chOff x="11590763" y="636337"/>
          <a:chExt cx="8293683" cy="9922619"/>
        </a:xfrm>
      </xdr:grpSpPr>
      <xdr:sp macro="" textlink="">
        <xdr:nvSpPr>
          <xdr:cNvPr id="5" name="Rectangle 4"/>
          <xdr:cNvSpPr/>
        </xdr:nvSpPr>
        <xdr:spPr>
          <a:xfrm>
            <a:off x="11590763" y="636337"/>
            <a:ext cx="8293683" cy="9922619"/>
          </a:xfrm>
          <a:prstGeom prst="rect">
            <a:avLst/>
          </a:prstGeom>
          <a:noFill/>
          <a:ln w="158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/>
          <xdr:cNvCxnSpPr/>
        </xdr:nvCxnSpPr>
        <xdr:spPr>
          <a:xfrm>
            <a:off x="13205136" y="5780454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/>
          <xdr:cNvCxnSpPr/>
        </xdr:nvCxnSpPr>
        <xdr:spPr>
          <a:xfrm>
            <a:off x="13178593" y="6010688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/>
          <xdr:cNvCxnSpPr/>
        </xdr:nvCxnSpPr>
        <xdr:spPr>
          <a:xfrm>
            <a:off x="13211772" y="6232313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/>
          <xdr:cNvCxnSpPr/>
        </xdr:nvCxnSpPr>
        <xdr:spPr>
          <a:xfrm>
            <a:off x="13191865" y="6471156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/>
          <xdr:cNvCxnSpPr/>
        </xdr:nvCxnSpPr>
        <xdr:spPr>
          <a:xfrm>
            <a:off x="13191865" y="6701392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D523"/>
  <sheetViews>
    <sheetView tabSelected="1" topLeftCell="A3" zoomScale="70" zoomScaleNormal="70" workbookViewId="0">
      <selection activeCell="K27" sqref="K27"/>
    </sheetView>
  </sheetViews>
  <sheetFormatPr defaultRowHeight="15.75" x14ac:dyDescent="0.25"/>
  <cols>
    <col min="1" max="1" width="8.375" bestFit="1" customWidth="1"/>
    <col min="2" max="2" width="13.5" bestFit="1" customWidth="1"/>
    <col min="3" max="3" width="9.5" customWidth="1"/>
    <col min="4" max="4" width="10.375" customWidth="1"/>
    <col min="5" max="5" width="2" bestFit="1" customWidth="1"/>
    <col min="6" max="6" width="3" bestFit="1" customWidth="1"/>
    <col min="7" max="7" width="10.375" customWidth="1"/>
    <col min="8" max="8" width="12.5" bestFit="1" customWidth="1"/>
    <col min="9" max="9" width="2.875" customWidth="1"/>
    <col min="10" max="10" width="11.5" customWidth="1"/>
    <col min="11" max="11" width="12.5" bestFit="1" customWidth="1"/>
    <col min="12" max="12" width="3" bestFit="1" customWidth="1"/>
    <col min="13" max="13" width="9.5" style="7" customWidth="1"/>
    <col min="14" max="14" width="12.5" style="7" bestFit="1" customWidth="1"/>
    <col min="15" max="15" width="2.625" style="7" customWidth="1"/>
    <col min="16" max="16" width="9.5" style="7" customWidth="1"/>
    <col min="17" max="17" width="12.5" style="7" bestFit="1" customWidth="1"/>
    <col min="18" max="18" width="12" style="7" customWidth="1"/>
    <col min="19" max="19" width="10.625" bestFit="1" customWidth="1"/>
    <col min="20" max="20" width="13.625" bestFit="1" customWidth="1"/>
    <col min="21" max="21" width="3" bestFit="1" customWidth="1"/>
    <col min="22" max="22" width="10.625" bestFit="1" customWidth="1"/>
    <col min="23" max="23" width="13.625" style="1" bestFit="1" customWidth="1"/>
    <col min="24" max="24" width="3" bestFit="1" customWidth="1"/>
    <col min="25" max="25" width="10.625" bestFit="1" customWidth="1"/>
    <col min="26" max="26" width="14" style="10" bestFit="1" customWidth="1"/>
    <col min="27" max="27" width="3" bestFit="1" customWidth="1"/>
    <col min="28" max="28" width="10.625" bestFit="1" customWidth="1"/>
    <col min="29" max="29" width="13.625" style="10" bestFit="1" customWidth="1"/>
    <col min="30" max="30" width="12.25" bestFit="1" customWidth="1"/>
  </cols>
  <sheetData>
    <row r="1" spans="1:3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</row>
    <row r="2" spans="1:30" ht="31.5" x14ac:dyDescent="0.25">
      <c r="A2" s="16" t="s">
        <v>28</v>
      </c>
      <c r="B2" s="16" t="s">
        <v>29</v>
      </c>
      <c r="C2" s="16" t="s">
        <v>30</v>
      </c>
      <c r="D2" s="16" t="s">
        <v>31</v>
      </c>
      <c r="F2" s="2"/>
      <c r="G2" s="2" t="s">
        <v>4</v>
      </c>
      <c r="H2" s="2" t="s">
        <v>5</v>
      </c>
      <c r="I2" s="5"/>
      <c r="J2" s="2" t="s">
        <v>9</v>
      </c>
      <c r="K2" s="2" t="s">
        <v>6</v>
      </c>
      <c r="L2" s="5"/>
      <c r="M2" s="2" t="s">
        <v>10</v>
      </c>
      <c r="N2" s="20" t="s">
        <v>7</v>
      </c>
      <c r="O2" s="5"/>
      <c r="P2" s="2" t="s">
        <v>11</v>
      </c>
      <c r="Q2" s="2" t="s">
        <v>8</v>
      </c>
      <c r="S2" s="13" t="s">
        <v>4</v>
      </c>
      <c r="T2" s="12" t="s">
        <v>12</v>
      </c>
      <c r="U2" s="1"/>
      <c r="V2" s="13" t="s">
        <v>9</v>
      </c>
      <c r="W2" s="12" t="s">
        <v>16</v>
      </c>
      <c r="X2" s="1"/>
      <c r="Y2" s="13" t="s">
        <v>10</v>
      </c>
      <c r="Z2" s="12" t="s">
        <v>20</v>
      </c>
      <c r="AA2" s="1"/>
      <c r="AB2" s="13" t="s">
        <v>11</v>
      </c>
      <c r="AC2" s="12" t="s">
        <v>24</v>
      </c>
    </row>
    <row r="3" spans="1:30" ht="16.350000000000001" customHeight="1" x14ac:dyDescent="0.25">
      <c r="A3" s="17">
        <v>1</v>
      </c>
      <c r="B3" s="17" t="s">
        <v>32</v>
      </c>
      <c r="C3" s="17">
        <v>0</v>
      </c>
      <c r="D3" s="18">
        <v>0.15</v>
      </c>
      <c r="F3" s="2"/>
      <c r="G3" s="2" t="s">
        <v>2</v>
      </c>
      <c r="H3" s="2" t="s">
        <v>3</v>
      </c>
      <c r="I3" s="5"/>
      <c r="J3" s="2" t="s">
        <v>2</v>
      </c>
      <c r="K3" s="2" t="s">
        <v>3</v>
      </c>
      <c r="L3" s="5"/>
      <c r="M3" s="2" t="s">
        <v>2</v>
      </c>
      <c r="N3" s="20" t="s">
        <v>3</v>
      </c>
      <c r="O3" s="5"/>
      <c r="P3" s="2" t="s">
        <v>2</v>
      </c>
      <c r="Q3" s="2" t="s">
        <v>3</v>
      </c>
      <c r="S3" s="14"/>
      <c r="T3" s="3" t="s">
        <v>13</v>
      </c>
      <c r="U3" s="1"/>
      <c r="V3" s="14"/>
      <c r="W3" s="3" t="s">
        <v>17</v>
      </c>
      <c r="X3" s="1"/>
      <c r="Y3" s="14"/>
      <c r="Z3" s="3" t="s">
        <v>21</v>
      </c>
      <c r="AA3" s="1"/>
      <c r="AB3" s="14"/>
      <c r="AC3" s="3" t="s">
        <v>25</v>
      </c>
    </row>
    <row r="4" spans="1:30" ht="16.350000000000001" customHeight="1" x14ac:dyDescent="0.25">
      <c r="A4" s="17">
        <v>2</v>
      </c>
      <c r="B4" s="17" t="s">
        <v>33</v>
      </c>
      <c r="C4" s="17">
        <v>22.5</v>
      </c>
      <c r="D4" s="18"/>
      <c r="F4" s="2"/>
      <c r="G4" s="2" t="s">
        <v>0</v>
      </c>
      <c r="H4" s="2" t="s">
        <v>1</v>
      </c>
      <c r="I4" s="5"/>
      <c r="J4" s="2" t="s">
        <v>0</v>
      </c>
      <c r="K4" s="2" t="s">
        <v>1</v>
      </c>
      <c r="L4" s="5"/>
      <c r="M4" s="2" t="s">
        <v>0</v>
      </c>
      <c r="N4" s="20" t="s">
        <v>1</v>
      </c>
      <c r="O4" s="5"/>
      <c r="P4" s="2" t="s">
        <v>0</v>
      </c>
      <c r="Q4" s="2" t="s">
        <v>1</v>
      </c>
      <c r="S4" s="14"/>
      <c r="T4" s="12" t="s">
        <v>14</v>
      </c>
      <c r="U4" s="1"/>
      <c r="V4" s="14"/>
      <c r="W4" s="12" t="s">
        <v>18</v>
      </c>
      <c r="X4" s="1"/>
      <c r="Y4" s="14"/>
      <c r="Z4" s="12" t="s">
        <v>22</v>
      </c>
      <c r="AA4" s="1"/>
      <c r="AB4" s="14"/>
      <c r="AC4" s="12" t="s">
        <v>26</v>
      </c>
    </row>
    <row r="5" spans="1:30" ht="16.350000000000001" customHeight="1" x14ac:dyDescent="0.25">
      <c r="A5" s="17">
        <v>3</v>
      </c>
      <c r="B5" s="17" t="s">
        <v>34</v>
      </c>
      <c r="C5" s="17">
        <v>45</v>
      </c>
      <c r="D5" s="18"/>
      <c r="F5" s="2">
        <v>1</v>
      </c>
      <c r="G5" s="4">
        <v>20</v>
      </c>
      <c r="H5" s="4">
        <v>2.2999999999999998</v>
      </c>
      <c r="I5" s="1"/>
      <c r="J5" s="4">
        <v>20</v>
      </c>
      <c r="K5" s="4">
        <v>2.2000000000000002</v>
      </c>
      <c r="L5" s="1"/>
      <c r="M5" s="4">
        <v>10</v>
      </c>
      <c r="N5" s="19">
        <v>2.52</v>
      </c>
      <c r="O5" s="1"/>
      <c r="P5" s="4">
        <v>20</v>
      </c>
      <c r="Q5" s="4">
        <v>2.2999999999999998</v>
      </c>
      <c r="S5" s="15"/>
      <c r="T5" s="3" t="s">
        <v>15</v>
      </c>
      <c r="U5" s="1"/>
      <c r="V5" s="15"/>
      <c r="W5" s="3" t="s">
        <v>19</v>
      </c>
      <c r="X5" s="1"/>
      <c r="Y5" s="15"/>
      <c r="Z5" s="3" t="s">
        <v>23</v>
      </c>
      <c r="AA5" s="1"/>
      <c r="AB5" s="15"/>
      <c r="AC5" s="3" t="s">
        <v>27</v>
      </c>
    </row>
    <row r="6" spans="1:30" ht="16.350000000000001" customHeight="1" x14ac:dyDescent="0.25">
      <c r="A6" s="17">
        <v>4</v>
      </c>
      <c r="B6" s="17" t="s">
        <v>35</v>
      </c>
      <c r="C6" s="17">
        <v>67.5</v>
      </c>
      <c r="D6" s="18"/>
      <c r="F6" s="2">
        <v>2</v>
      </c>
      <c r="G6" s="4">
        <v>40</v>
      </c>
      <c r="H6" s="4">
        <v>2.5</v>
      </c>
      <c r="I6" s="1"/>
      <c r="J6" s="4">
        <v>40</v>
      </c>
      <c r="K6" s="4">
        <v>2.4</v>
      </c>
      <c r="L6" s="1"/>
      <c r="M6" s="4">
        <v>100</v>
      </c>
      <c r="N6" s="19">
        <v>3.1</v>
      </c>
      <c r="O6" s="1"/>
      <c r="P6" s="4">
        <v>40</v>
      </c>
      <c r="Q6" s="4">
        <v>2.5</v>
      </c>
    </row>
    <row r="7" spans="1:30" x14ac:dyDescent="0.25">
      <c r="A7" s="17">
        <v>5</v>
      </c>
      <c r="B7" s="17" t="s">
        <v>36</v>
      </c>
      <c r="C7" s="17">
        <v>90</v>
      </c>
      <c r="D7" s="18"/>
      <c r="F7" s="2">
        <v>3</v>
      </c>
      <c r="G7" s="4">
        <v>60</v>
      </c>
      <c r="H7" s="4">
        <v>2.6</v>
      </c>
      <c r="I7" s="1"/>
      <c r="J7" s="4">
        <v>60</v>
      </c>
      <c r="K7" s="4">
        <v>2.5</v>
      </c>
      <c r="L7" s="1"/>
      <c r="M7" s="4">
        <v>150</v>
      </c>
      <c r="N7" s="19">
        <v>3.35</v>
      </c>
      <c r="O7" s="1"/>
      <c r="P7" s="4">
        <v>60</v>
      </c>
      <c r="Q7" s="4">
        <v>2.6</v>
      </c>
      <c r="S7" s="2" t="str">
        <f t="shared" ref="S7:T9" si="0">G2</f>
        <v>Line 0</v>
      </c>
      <c r="T7" s="2" t="str">
        <f t="shared" si="0"/>
        <v>22.5 - 112.4</v>
      </c>
      <c r="U7" s="5"/>
      <c r="V7" s="2" t="str">
        <f t="shared" ref="V7:W9" si="1">J2</f>
        <v>Line 1</v>
      </c>
      <c r="W7" s="2" t="str">
        <f t="shared" si="1"/>
        <v>112.5 - 202.4</v>
      </c>
      <c r="X7" s="5"/>
      <c r="Y7" s="2" t="str">
        <f t="shared" ref="Y7:Z9" si="2">M2</f>
        <v>Line 2</v>
      </c>
      <c r="Z7" s="2" t="str">
        <f t="shared" si="2"/>
        <v>202.5 - 292.4</v>
      </c>
      <c r="AA7" s="5"/>
      <c r="AB7" s="2" t="str">
        <f t="shared" ref="AB7:AC9" si="3">P2</f>
        <v>Line 3</v>
      </c>
      <c r="AC7" s="2" t="str">
        <f t="shared" si="3"/>
        <v>292.5 - 22.4</v>
      </c>
    </row>
    <row r="8" spans="1:30" x14ac:dyDescent="0.25">
      <c r="A8" s="17">
        <v>6</v>
      </c>
      <c r="B8" s="17" t="s">
        <v>37</v>
      </c>
      <c r="C8" s="17">
        <v>112.5</v>
      </c>
      <c r="D8" s="18"/>
      <c r="F8" s="2">
        <v>4</v>
      </c>
      <c r="G8" s="4">
        <v>80</v>
      </c>
      <c r="H8" s="4">
        <v>2.75</v>
      </c>
      <c r="I8" s="1"/>
      <c r="J8" s="4">
        <v>80</v>
      </c>
      <c r="K8" s="4">
        <v>2.6</v>
      </c>
      <c r="L8" s="1"/>
      <c r="M8" s="4">
        <v>200</v>
      </c>
      <c r="N8" s="19">
        <v>3.4</v>
      </c>
      <c r="O8" s="1"/>
      <c r="P8" s="4">
        <v>80</v>
      </c>
      <c r="Q8" s="4">
        <v>2.9</v>
      </c>
      <c r="S8" s="2" t="str">
        <f t="shared" si="0"/>
        <v>Height (m)</v>
      </c>
      <c r="T8" s="2" t="str">
        <f t="shared" si="0"/>
        <v>Velocity (m/s)</v>
      </c>
      <c r="U8" s="5"/>
      <c r="V8" s="2" t="str">
        <f t="shared" si="1"/>
        <v>Height (m)</v>
      </c>
      <c r="W8" s="2" t="str">
        <f t="shared" si="1"/>
        <v>Velocity (m/s)</v>
      </c>
      <c r="X8" s="5"/>
      <c r="Y8" s="2" t="str">
        <f t="shared" si="2"/>
        <v>Height (m)</v>
      </c>
      <c r="Z8" s="2" t="str">
        <f t="shared" si="2"/>
        <v>Velocity (m/s)</v>
      </c>
      <c r="AA8" s="5"/>
      <c r="AB8" s="2" t="str">
        <f t="shared" si="3"/>
        <v>Height (m)</v>
      </c>
      <c r="AC8" s="2" t="str">
        <f t="shared" si="3"/>
        <v>Velocity (m/s)</v>
      </c>
    </row>
    <row r="9" spans="1:30" x14ac:dyDescent="0.25">
      <c r="A9" s="17">
        <v>7</v>
      </c>
      <c r="B9" s="17" t="s">
        <v>38</v>
      </c>
      <c r="C9" s="17">
        <v>135</v>
      </c>
      <c r="D9" s="18">
        <v>0.35</v>
      </c>
      <c r="F9" s="2">
        <v>5</v>
      </c>
      <c r="G9" s="4">
        <v>100</v>
      </c>
      <c r="H9" s="4">
        <v>2.9</v>
      </c>
      <c r="I9" s="1"/>
      <c r="J9" s="4">
        <v>100</v>
      </c>
      <c r="K9" s="4">
        <v>2.75</v>
      </c>
      <c r="L9" s="1"/>
      <c r="M9" s="4">
        <v>310</v>
      </c>
      <c r="N9" s="19">
        <v>3.45</v>
      </c>
      <c r="O9" s="1"/>
      <c r="P9" s="4">
        <v>100</v>
      </c>
      <c r="Q9" s="4">
        <v>3.1</v>
      </c>
      <c r="S9" s="2" t="str">
        <f t="shared" si="0"/>
        <v>Z</v>
      </c>
      <c r="T9" s="2" t="str">
        <f t="shared" si="0"/>
        <v>V_ref</v>
      </c>
      <c r="U9" s="5"/>
      <c r="V9" s="2" t="str">
        <f t="shared" si="1"/>
        <v>Z</v>
      </c>
      <c r="W9" s="2" t="str">
        <f t="shared" si="1"/>
        <v>V_ref</v>
      </c>
      <c r="X9" s="5"/>
      <c r="Y9" s="2" t="str">
        <f t="shared" si="2"/>
        <v>Z</v>
      </c>
      <c r="Z9" s="2" t="str">
        <f t="shared" si="2"/>
        <v>V_ref</v>
      </c>
      <c r="AA9" s="5"/>
      <c r="AB9" s="2" t="str">
        <f t="shared" si="3"/>
        <v>Z</v>
      </c>
      <c r="AC9" s="2" t="str">
        <f t="shared" si="3"/>
        <v>V_ref</v>
      </c>
    </row>
    <row r="10" spans="1:30" x14ac:dyDescent="0.25">
      <c r="A10" s="17">
        <v>8</v>
      </c>
      <c r="B10" s="17" t="s">
        <v>39</v>
      </c>
      <c r="C10" s="17">
        <v>157.5</v>
      </c>
      <c r="D10" s="18"/>
      <c r="F10" s="2">
        <v>6</v>
      </c>
      <c r="G10" s="4">
        <v>150</v>
      </c>
      <c r="H10" s="4">
        <v>3.3</v>
      </c>
      <c r="I10" s="1"/>
      <c r="J10" s="4">
        <v>150</v>
      </c>
      <c r="K10" s="4">
        <v>3</v>
      </c>
      <c r="L10" s="1"/>
      <c r="M10" s="4">
        <v>400</v>
      </c>
      <c r="N10" s="19">
        <v>3.8</v>
      </c>
      <c r="O10" s="1"/>
      <c r="P10" s="4">
        <v>150</v>
      </c>
      <c r="Q10" s="4">
        <v>3.65</v>
      </c>
      <c r="S10" s="3">
        <v>0</v>
      </c>
      <c r="T10" s="9">
        <v>0</v>
      </c>
      <c r="U10" s="1"/>
      <c r="V10" s="3">
        <f>S10</f>
        <v>0</v>
      </c>
      <c r="W10" s="9"/>
      <c r="X10" s="1"/>
      <c r="Y10" s="3">
        <f>S10</f>
        <v>0</v>
      </c>
      <c r="Z10" s="9"/>
      <c r="AA10" s="1"/>
      <c r="AB10" s="3">
        <f>S10</f>
        <v>0</v>
      </c>
      <c r="AC10" s="9"/>
    </row>
    <row r="11" spans="1:30" x14ac:dyDescent="0.25">
      <c r="A11" s="17">
        <v>9</v>
      </c>
      <c r="B11" s="17" t="s">
        <v>40</v>
      </c>
      <c r="C11" s="17">
        <v>180</v>
      </c>
      <c r="D11" s="18"/>
      <c r="F11" s="2">
        <v>7</v>
      </c>
      <c r="G11" s="4">
        <v>200</v>
      </c>
      <c r="H11" s="4">
        <v>3.7</v>
      </c>
      <c r="I11" s="1"/>
      <c r="J11" s="4">
        <v>400</v>
      </c>
      <c r="K11" s="4">
        <v>4.3499999999999996</v>
      </c>
      <c r="L11" s="1"/>
      <c r="M11" s="4">
        <v>500</v>
      </c>
      <c r="N11" s="19">
        <v>4.25</v>
      </c>
      <c r="O11" s="1"/>
      <c r="P11" s="4">
        <v>180</v>
      </c>
      <c r="Q11" s="4">
        <v>4</v>
      </c>
      <c r="S11" s="3">
        <f>10+S10</f>
        <v>10</v>
      </c>
      <c r="T11" s="9">
        <v>2.0728760640049093</v>
      </c>
      <c r="U11" s="1"/>
      <c r="V11" s="3">
        <f t="shared" ref="V11:V74" si="4">S11</f>
        <v>10</v>
      </c>
      <c r="W11" s="9"/>
      <c r="X11" s="1"/>
      <c r="Y11" s="3">
        <f t="shared" ref="Y11:Y74" si="5">S11</f>
        <v>10</v>
      </c>
      <c r="Z11" s="9"/>
      <c r="AA11" s="1"/>
      <c r="AB11" s="3">
        <f t="shared" ref="AB11:AB74" si="6">S11</f>
        <v>10</v>
      </c>
      <c r="AC11" s="9"/>
    </row>
    <row r="12" spans="1:30" x14ac:dyDescent="0.25">
      <c r="A12" s="17">
        <v>10</v>
      </c>
      <c r="B12" s="17" t="s">
        <v>41</v>
      </c>
      <c r="C12" s="17">
        <v>202.5</v>
      </c>
      <c r="D12" s="18">
        <v>0.32</v>
      </c>
      <c r="F12" s="2">
        <v>8</v>
      </c>
      <c r="G12" s="4">
        <v>400</v>
      </c>
      <c r="H12" s="4">
        <v>5.33</v>
      </c>
      <c r="I12" s="1"/>
      <c r="J12" s="4">
        <v>500</v>
      </c>
      <c r="K12" s="4">
        <v>5.05</v>
      </c>
      <c r="L12" s="1"/>
      <c r="M12" s="4"/>
      <c r="N12" s="19"/>
      <c r="O12" s="1"/>
      <c r="P12" s="4">
        <v>245</v>
      </c>
      <c r="Q12" s="4">
        <v>4.45</v>
      </c>
      <c r="S12" s="3">
        <f t="shared" ref="S12:S75" si="7">10+S11</f>
        <v>20</v>
      </c>
      <c r="T12" s="9">
        <v>2.2999999999999998</v>
      </c>
      <c r="U12" s="1"/>
      <c r="V12" s="3">
        <f t="shared" si="4"/>
        <v>20</v>
      </c>
      <c r="W12" s="9"/>
      <c r="X12" s="1"/>
      <c r="Y12" s="3">
        <f t="shared" si="5"/>
        <v>20</v>
      </c>
      <c r="Z12" s="9"/>
      <c r="AA12" s="1"/>
      <c r="AB12" s="3">
        <f t="shared" si="6"/>
        <v>20</v>
      </c>
      <c r="AC12" s="9"/>
    </row>
    <row r="13" spans="1:30" x14ac:dyDescent="0.25">
      <c r="A13" s="17">
        <v>11</v>
      </c>
      <c r="B13" s="17" t="s">
        <v>42</v>
      </c>
      <c r="C13" s="17">
        <v>225</v>
      </c>
      <c r="D13" s="18"/>
      <c r="F13" s="2">
        <v>9</v>
      </c>
      <c r="G13" s="4">
        <v>460</v>
      </c>
      <c r="H13" s="4">
        <v>5.8</v>
      </c>
      <c r="I13" s="1"/>
      <c r="J13" s="4"/>
      <c r="K13" s="4"/>
      <c r="L13" s="1"/>
      <c r="M13" s="4"/>
      <c r="N13" s="19"/>
      <c r="O13" s="1"/>
      <c r="P13" s="4">
        <v>300</v>
      </c>
      <c r="Q13" s="4">
        <v>4.3</v>
      </c>
      <c r="S13" s="3">
        <f t="shared" si="7"/>
        <v>30</v>
      </c>
      <c r="T13" s="9">
        <v>2.4</v>
      </c>
      <c r="U13" s="1"/>
      <c r="V13" s="3">
        <f t="shared" si="4"/>
        <v>30</v>
      </c>
      <c r="W13" s="9"/>
      <c r="X13" s="1"/>
      <c r="Y13" s="3">
        <f t="shared" si="5"/>
        <v>30</v>
      </c>
      <c r="Z13" s="9"/>
      <c r="AA13" s="1"/>
      <c r="AB13" s="3">
        <f t="shared" si="6"/>
        <v>30</v>
      </c>
      <c r="AC13" s="9"/>
    </row>
    <row r="14" spans="1:30" x14ac:dyDescent="0.25">
      <c r="A14" s="17">
        <v>12</v>
      </c>
      <c r="B14" s="17" t="s">
        <v>43</v>
      </c>
      <c r="C14" s="17">
        <v>247.5</v>
      </c>
      <c r="D14" s="18"/>
      <c r="F14" s="2">
        <v>10</v>
      </c>
      <c r="G14" s="4">
        <v>500</v>
      </c>
      <c r="H14" s="4">
        <v>6</v>
      </c>
      <c r="I14" s="1"/>
      <c r="J14" s="4"/>
      <c r="K14" s="4"/>
      <c r="L14" s="1"/>
      <c r="M14" s="4"/>
      <c r="N14" s="19"/>
      <c r="O14" s="1"/>
      <c r="P14" s="4">
        <v>380</v>
      </c>
      <c r="Q14" s="4">
        <v>4.3</v>
      </c>
      <c r="S14" s="3">
        <f t="shared" si="7"/>
        <v>40</v>
      </c>
      <c r="T14" s="9">
        <v>2.5</v>
      </c>
      <c r="U14" s="1"/>
      <c r="V14" s="3">
        <f t="shared" si="4"/>
        <v>40</v>
      </c>
      <c r="W14" s="9"/>
      <c r="X14" s="1"/>
      <c r="Y14" s="3">
        <f t="shared" si="5"/>
        <v>40</v>
      </c>
      <c r="Z14" s="9"/>
      <c r="AA14" s="1"/>
      <c r="AB14" s="3">
        <f t="shared" si="6"/>
        <v>40</v>
      </c>
      <c r="AC14" s="9"/>
    </row>
    <row r="15" spans="1:30" x14ac:dyDescent="0.25">
      <c r="A15" s="17">
        <v>13</v>
      </c>
      <c r="B15" s="17" t="s">
        <v>44</v>
      </c>
      <c r="C15" s="17">
        <v>270</v>
      </c>
      <c r="D15" s="18"/>
      <c r="F15" s="2">
        <v>11</v>
      </c>
      <c r="G15" s="4"/>
      <c r="H15" s="4"/>
      <c r="I15" s="1"/>
      <c r="J15" s="4"/>
      <c r="K15" s="4"/>
      <c r="L15" s="1"/>
      <c r="M15" s="4"/>
      <c r="N15" s="19"/>
      <c r="O15" s="1"/>
      <c r="P15" s="4">
        <v>460</v>
      </c>
      <c r="Q15" s="4">
        <v>4.75</v>
      </c>
      <c r="S15" s="3">
        <f t="shared" si="7"/>
        <v>50</v>
      </c>
      <c r="T15" s="9">
        <v>2.5499999999999998</v>
      </c>
      <c r="U15" s="1"/>
      <c r="V15" s="3">
        <f t="shared" si="4"/>
        <v>50</v>
      </c>
      <c r="W15" s="9"/>
      <c r="X15" s="1"/>
      <c r="Y15" s="3">
        <f t="shared" si="5"/>
        <v>50</v>
      </c>
      <c r="Z15" s="9"/>
      <c r="AA15" s="1"/>
      <c r="AB15" s="3">
        <f t="shared" si="6"/>
        <v>50</v>
      </c>
      <c r="AC15" s="9"/>
    </row>
    <row r="16" spans="1:30" x14ac:dyDescent="0.25">
      <c r="A16" s="17">
        <v>14</v>
      </c>
      <c r="B16" s="17" t="s">
        <v>45</v>
      </c>
      <c r="C16" s="17">
        <v>292.5</v>
      </c>
      <c r="D16" s="18">
        <v>0.15</v>
      </c>
      <c r="F16" s="2">
        <v>12</v>
      </c>
      <c r="G16" s="4"/>
      <c r="H16" s="4"/>
      <c r="I16" s="1"/>
      <c r="J16" s="4"/>
      <c r="K16" s="4"/>
      <c r="L16" s="1"/>
      <c r="M16" s="4"/>
      <c r="N16" s="19"/>
      <c r="O16" s="1"/>
      <c r="P16" s="4">
        <v>500</v>
      </c>
      <c r="Q16" s="4">
        <v>4.8499999999999996</v>
      </c>
      <c r="S16" s="3">
        <f t="shared" si="7"/>
        <v>60</v>
      </c>
      <c r="T16" s="9">
        <v>2.6</v>
      </c>
      <c r="U16" s="1"/>
      <c r="V16" s="3">
        <f t="shared" si="4"/>
        <v>60</v>
      </c>
      <c r="W16" s="9"/>
      <c r="X16" s="1"/>
      <c r="Y16" s="3">
        <f t="shared" si="5"/>
        <v>60</v>
      </c>
      <c r="Z16" s="9"/>
      <c r="AA16" s="1"/>
      <c r="AB16" s="3">
        <f t="shared" si="6"/>
        <v>60</v>
      </c>
      <c r="AC16" s="9"/>
    </row>
    <row r="17" spans="1:29" x14ac:dyDescent="0.25">
      <c r="A17" s="17">
        <v>15</v>
      </c>
      <c r="B17" s="17" t="s">
        <v>46</v>
      </c>
      <c r="C17" s="17">
        <v>315</v>
      </c>
      <c r="D17" s="18">
        <v>0.15</v>
      </c>
      <c r="F17" s="2">
        <v>13</v>
      </c>
      <c r="G17" s="4"/>
      <c r="H17" s="4"/>
      <c r="I17" s="1"/>
      <c r="J17" s="4"/>
      <c r="K17" s="4"/>
      <c r="L17" s="1"/>
      <c r="M17" s="4"/>
      <c r="N17" s="19"/>
      <c r="O17" s="1"/>
      <c r="P17" s="4"/>
      <c r="Q17" s="4"/>
      <c r="S17" s="3">
        <f t="shared" si="7"/>
        <v>70</v>
      </c>
      <c r="T17" s="9">
        <v>2.6749999999999998</v>
      </c>
      <c r="U17" s="1"/>
      <c r="V17" s="3">
        <f t="shared" si="4"/>
        <v>70</v>
      </c>
      <c r="W17" s="9"/>
      <c r="X17" s="1"/>
      <c r="Y17" s="3">
        <f t="shared" si="5"/>
        <v>70</v>
      </c>
      <c r="Z17" s="9"/>
      <c r="AA17" s="1"/>
      <c r="AB17" s="3">
        <f t="shared" si="6"/>
        <v>70</v>
      </c>
      <c r="AC17" s="9"/>
    </row>
    <row r="18" spans="1:29" x14ac:dyDescent="0.25">
      <c r="A18" s="17">
        <v>16</v>
      </c>
      <c r="B18" s="17" t="s">
        <v>47</v>
      </c>
      <c r="C18" s="17">
        <v>337.5</v>
      </c>
      <c r="D18" s="18"/>
      <c r="F18" s="2">
        <v>14</v>
      </c>
      <c r="G18" s="4"/>
      <c r="H18" s="4"/>
      <c r="I18" s="1"/>
      <c r="J18" s="4"/>
      <c r="K18" s="4"/>
      <c r="L18" s="1"/>
      <c r="M18" s="4"/>
      <c r="N18" s="19"/>
      <c r="O18" s="1"/>
      <c r="P18" s="4"/>
      <c r="Q18" s="4"/>
      <c r="S18" s="3">
        <f t="shared" si="7"/>
        <v>80</v>
      </c>
      <c r="T18" s="9">
        <v>2.75</v>
      </c>
      <c r="U18" s="1"/>
      <c r="V18" s="3">
        <f t="shared" si="4"/>
        <v>80</v>
      </c>
      <c r="W18" s="9"/>
      <c r="X18" s="1"/>
      <c r="Y18" s="3">
        <f t="shared" si="5"/>
        <v>80</v>
      </c>
      <c r="Z18" s="9"/>
      <c r="AA18" s="1"/>
      <c r="AB18" s="3">
        <f t="shared" si="6"/>
        <v>80</v>
      </c>
      <c r="AC18" s="9"/>
    </row>
    <row r="19" spans="1:29" x14ac:dyDescent="0.25">
      <c r="F19" s="2">
        <v>15</v>
      </c>
      <c r="G19" s="4"/>
      <c r="H19" s="4"/>
      <c r="I19" s="1"/>
      <c r="J19" s="4"/>
      <c r="K19" s="4"/>
      <c r="L19" s="1"/>
      <c r="M19" s="4"/>
      <c r="N19" s="19"/>
      <c r="O19" s="1"/>
      <c r="P19" s="4"/>
      <c r="Q19" s="4"/>
      <c r="S19" s="3">
        <f t="shared" si="7"/>
        <v>90</v>
      </c>
      <c r="T19" s="9">
        <v>2.8250000000000002</v>
      </c>
      <c r="U19" s="1"/>
      <c r="V19" s="3">
        <f t="shared" si="4"/>
        <v>90</v>
      </c>
      <c r="W19" s="9"/>
      <c r="X19" s="1"/>
      <c r="Y19" s="3">
        <f t="shared" si="5"/>
        <v>90</v>
      </c>
      <c r="Z19" s="9"/>
      <c r="AA19" s="1"/>
      <c r="AB19" s="3">
        <f t="shared" si="6"/>
        <v>90</v>
      </c>
      <c r="AC19" s="9"/>
    </row>
    <row r="20" spans="1:29" x14ac:dyDescent="0.25">
      <c r="F20" s="2">
        <v>16</v>
      </c>
      <c r="G20" s="4"/>
      <c r="H20" s="4"/>
      <c r="I20" s="1"/>
      <c r="J20" s="4"/>
      <c r="K20" s="4"/>
      <c r="L20" s="1"/>
      <c r="M20" s="4"/>
      <c r="N20" s="19"/>
      <c r="O20" s="1"/>
      <c r="P20" s="4"/>
      <c r="Q20" s="4"/>
      <c r="S20" s="3">
        <f t="shared" si="7"/>
        <v>100</v>
      </c>
      <c r="T20" s="9">
        <v>2.9</v>
      </c>
      <c r="U20" s="1"/>
      <c r="V20" s="3">
        <f t="shared" si="4"/>
        <v>100</v>
      </c>
      <c r="W20" s="9"/>
      <c r="X20" s="1"/>
      <c r="Y20" s="3">
        <f t="shared" si="5"/>
        <v>100</v>
      </c>
      <c r="Z20" s="9"/>
      <c r="AA20" s="1"/>
      <c r="AB20" s="3">
        <f t="shared" si="6"/>
        <v>100</v>
      </c>
      <c r="AC20" s="9"/>
    </row>
    <row r="21" spans="1:29" x14ac:dyDescent="0.25">
      <c r="F21" s="2">
        <v>17</v>
      </c>
      <c r="G21" s="4"/>
      <c r="H21" s="4"/>
      <c r="I21" s="1"/>
      <c r="J21" s="4"/>
      <c r="K21" s="4"/>
      <c r="L21" s="1"/>
      <c r="M21" s="4"/>
      <c r="N21" s="19"/>
      <c r="O21" s="1"/>
      <c r="P21" s="4"/>
      <c r="Q21" s="4"/>
      <c r="S21" s="3">
        <f t="shared" si="7"/>
        <v>110</v>
      </c>
      <c r="T21" s="9">
        <v>2.98</v>
      </c>
      <c r="U21" s="1"/>
      <c r="V21" s="3">
        <f t="shared" si="4"/>
        <v>110</v>
      </c>
      <c r="W21" s="9"/>
      <c r="X21" s="1"/>
      <c r="Y21" s="3">
        <f t="shared" si="5"/>
        <v>110</v>
      </c>
      <c r="Z21" s="9"/>
      <c r="AA21" s="1"/>
      <c r="AB21" s="3">
        <f t="shared" si="6"/>
        <v>110</v>
      </c>
      <c r="AC21" s="9"/>
    </row>
    <row r="22" spans="1:29" x14ac:dyDescent="0.25">
      <c r="F22" s="2">
        <v>18</v>
      </c>
      <c r="G22" s="4"/>
      <c r="H22" s="4"/>
      <c r="I22" s="1"/>
      <c r="J22" s="4"/>
      <c r="K22" s="4"/>
      <c r="L22" s="1"/>
      <c r="M22" s="4"/>
      <c r="N22" s="19"/>
      <c r="O22" s="1"/>
      <c r="P22" s="4"/>
      <c r="Q22" s="4"/>
      <c r="S22" s="3">
        <f t="shared" si="7"/>
        <v>120</v>
      </c>
      <c r="T22" s="9">
        <v>3.06</v>
      </c>
      <c r="U22" s="1"/>
      <c r="V22" s="3">
        <f t="shared" si="4"/>
        <v>120</v>
      </c>
      <c r="W22" s="9"/>
      <c r="X22" s="1"/>
      <c r="Y22" s="3">
        <f t="shared" si="5"/>
        <v>120</v>
      </c>
      <c r="Z22" s="9"/>
      <c r="AA22" s="1"/>
      <c r="AB22" s="3">
        <f t="shared" si="6"/>
        <v>120</v>
      </c>
      <c r="AC22" s="9"/>
    </row>
    <row r="23" spans="1:29" x14ac:dyDescent="0.25">
      <c r="F23" s="2">
        <v>19</v>
      </c>
      <c r="G23" s="4"/>
      <c r="H23" s="4"/>
      <c r="I23" s="1"/>
      <c r="J23" s="4"/>
      <c r="K23" s="4"/>
      <c r="L23" s="1"/>
      <c r="M23" s="4"/>
      <c r="N23" s="19"/>
      <c r="O23" s="1"/>
      <c r="P23" s="4"/>
      <c r="Q23" s="4"/>
      <c r="R23" s="7">
        <v>1</v>
      </c>
      <c r="S23" s="3">
        <f t="shared" si="7"/>
        <v>130</v>
      </c>
      <c r="T23" s="9">
        <v>3.1399999999999997</v>
      </c>
      <c r="U23" s="1"/>
      <c r="V23" s="3">
        <f t="shared" si="4"/>
        <v>130</v>
      </c>
      <c r="W23" s="9"/>
      <c r="X23" s="1"/>
      <c r="Y23" s="3">
        <f t="shared" si="5"/>
        <v>130</v>
      </c>
      <c r="Z23" s="9"/>
      <c r="AA23" s="1"/>
      <c r="AB23" s="3">
        <f t="shared" si="6"/>
        <v>130</v>
      </c>
      <c r="AC23" s="9"/>
    </row>
    <row r="24" spans="1:29" x14ac:dyDescent="0.25">
      <c r="F24" s="2">
        <v>20</v>
      </c>
      <c r="G24" s="4"/>
      <c r="H24" s="4"/>
      <c r="I24" s="6"/>
      <c r="J24" s="4"/>
      <c r="K24" s="4"/>
      <c r="L24" s="6"/>
      <c r="M24" s="4"/>
      <c r="N24" s="19"/>
      <c r="O24" s="6"/>
      <c r="P24" s="4"/>
      <c r="Q24" s="4"/>
      <c r="R24" s="7">
        <v>2</v>
      </c>
      <c r="S24" s="3">
        <f t="shared" si="7"/>
        <v>140</v>
      </c>
      <c r="T24" s="9">
        <v>3.2199999999999998</v>
      </c>
      <c r="U24" s="1"/>
      <c r="V24" s="3">
        <f t="shared" si="4"/>
        <v>140</v>
      </c>
      <c r="W24" s="9"/>
      <c r="X24" s="1"/>
      <c r="Y24" s="3">
        <f t="shared" si="5"/>
        <v>140</v>
      </c>
      <c r="Z24" s="9"/>
      <c r="AA24" s="1"/>
      <c r="AB24" s="3">
        <f t="shared" si="6"/>
        <v>140</v>
      </c>
      <c r="AC24" s="9"/>
    </row>
    <row r="25" spans="1:29" x14ac:dyDescent="0.25">
      <c r="F25" s="2">
        <v>21</v>
      </c>
      <c r="G25" s="4"/>
      <c r="H25" s="4"/>
      <c r="I25" s="6"/>
      <c r="J25" s="4"/>
      <c r="K25" s="4"/>
      <c r="L25" s="6"/>
      <c r="M25" s="4"/>
      <c r="N25" s="19"/>
      <c r="O25" s="6"/>
      <c r="P25" s="4"/>
      <c r="Q25" s="4"/>
      <c r="R25" s="7">
        <v>3</v>
      </c>
      <c r="S25" s="3">
        <f t="shared" si="7"/>
        <v>150</v>
      </c>
      <c r="T25" s="9">
        <v>3.3</v>
      </c>
      <c r="U25" s="1"/>
      <c r="V25" s="3">
        <f t="shared" si="4"/>
        <v>150</v>
      </c>
      <c r="W25" s="9"/>
      <c r="X25" s="1"/>
      <c r="Y25" s="3">
        <f t="shared" si="5"/>
        <v>150</v>
      </c>
      <c r="Z25" s="9"/>
      <c r="AA25" s="1"/>
      <c r="AB25" s="3">
        <f t="shared" si="6"/>
        <v>150</v>
      </c>
      <c r="AC25" s="9"/>
    </row>
    <row r="26" spans="1:29" x14ac:dyDescent="0.25"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7">
        <v>4</v>
      </c>
      <c r="S26" s="3">
        <f t="shared" si="7"/>
        <v>160</v>
      </c>
      <c r="T26" s="9">
        <v>3.38</v>
      </c>
      <c r="U26" s="1"/>
      <c r="V26" s="3">
        <f t="shared" si="4"/>
        <v>160</v>
      </c>
      <c r="W26" s="9"/>
      <c r="X26" s="1"/>
      <c r="Y26" s="3">
        <f t="shared" si="5"/>
        <v>160</v>
      </c>
      <c r="Z26" s="9"/>
      <c r="AA26" s="1"/>
      <c r="AB26" s="3">
        <f t="shared" si="6"/>
        <v>160</v>
      </c>
      <c r="AC26" s="9"/>
    </row>
    <row r="27" spans="1:29" x14ac:dyDescent="0.25"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7">
        <v>5</v>
      </c>
      <c r="S27" s="3">
        <f t="shared" si="7"/>
        <v>170</v>
      </c>
      <c r="T27" s="9">
        <v>3.46</v>
      </c>
      <c r="U27" s="1"/>
      <c r="V27" s="3">
        <f t="shared" si="4"/>
        <v>170</v>
      </c>
      <c r="W27" s="9"/>
      <c r="X27" s="1"/>
      <c r="Y27" s="3">
        <f t="shared" si="5"/>
        <v>170</v>
      </c>
      <c r="Z27" s="9"/>
      <c r="AA27" s="1"/>
      <c r="AB27" s="3">
        <f t="shared" si="6"/>
        <v>170</v>
      </c>
      <c r="AC27" s="9"/>
    </row>
    <row r="28" spans="1:29" x14ac:dyDescent="0.25">
      <c r="A28" s="7"/>
      <c r="B28" s="7"/>
      <c r="C28" s="7"/>
      <c r="D28" s="7"/>
      <c r="E28" s="7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>
        <v>6</v>
      </c>
      <c r="S28" s="3">
        <f t="shared" si="7"/>
        <v>180</v>
      </c>
      <c r="T28" s="9">
        <v>3.54</v>
      </c>
      <c r="U28" s="1"/>
      <c r="V28" s="3">
        <f t="shared" si="4"/>
        <v>180</v>
      </c>
      <c r="W28" s="9"/>
      <c r="X28" s="1"/>
      <c r="Y28" s="3">
        <f t="shared" si="5"/>
        <v>180</v>
      </c>
      <c r="Z28" s="9"/>
      <c r="AA28" s="1"/>
      <c r="AB28" s="3">
        <f t="shared" si="6"/>
        <v>180</v>
      </c>
      <c r="AC28" s="9"/>
    </row>
    <row r="29" spans="1:29" x14ac:dyDescent="0.25">
      <c r="A29" s="7"/>
      <c r="B29" s="7"/>
      <c r="C29" s="7"/>
      <c r="D29" s="7"/>
      <c r="E29" s="7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7">
        <v>7</v>
      </c>
      <c r="S29" s="3">
        <f t="shared" si="7"/>
        <v>190</v>
      </c>
      <c r="T29" s="9">
        <v>3.62</v>
      </c>
      <c r="U29" s="1"/>
      <c r="V29" s="3">
        <f t="shared" si="4"/>
        <v>190</v>
      </c>
      <c r="W29" s="9"/>
      <c r="X29" s="1"/>
      <c r="Y29" s="3">
        <f t="shared" si="5"/>
        <v>190</v>
      </c>
      <c r="Z29" s="9"/>
      <c r="AA29" s="1"/>
      <c r="AB29" s="3">
        <f t="shared" si="6"/>
        <v>190</v>
      </c>
      <c r="AC29" s="9"/>
    </row>
    <row r="30" spans="1:29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R30" s="7">
        <v>8</v>
      </c>
      <c r="S30" s="3">
        <f t="shared" si="7"/>
        <v>200</v>
      </c>
      <c r="T30" s="9">
        <v>3.7</v>
      </c>
      <c r="U30" s="1"/>
      <c r="V30" s="3">
        <f t="shared" si="4"/>
        <v>200</v>
      </c>
      <c r="W30" s="9"/>
      <c r="X30" s="1"/>
      <c r="Y30" s="3">
        <f t="shared" si="5"/>
        <v>200</v>
      </c>
      <c r="Z30" s="9"/>
      <c r="AA30" s="1"/>
      <c r="AB30" s="3">
        <f t="shared" si="6"/>
        <v>200</v>
      </c>
      <c r="AC30" s="9"/>
    </row>
    <row r="31" spans="1:29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R31" s="7">
        <v>9</v>
      </c>
      <c r="S31" s="3">
        <f t="shared" si="7"/>
        <v>210</v>
      </c>
      <c r="T31" s="9">
        <v>3.7815000000000003</v>
      </c>
      <c r="U31" s="1"/>
      <c r="V31" s="3">
        <f t="shared" si="4"/>
        <v>210</v>
      </c>
      <c r="W31" s="9"/>
      <c r="X31" s="1"/>
      <c r="Y31" s="3">
        <f t="shared" si="5"/>
        <v>210</v>
      </c>
      <c r="Z31" s="9"/>
      <c r="AA31" s="1"/>
      <c r="AB31" s="3">
        <f t="shared" si="6"/>
        <v>210</v>
      </c>
      <c r="AC31" s="9"/>
    </row>
    <row r="32" spans="1:29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R32" s="7">
        <v>10</v>
      </c>
      <c r="S32" s="3">
        <f t="shared" si="7"/>
        <v>220</v>
      </c>
      <c r="T32" s="9">
        <v>3.863</v>
      </c>
      <c r="U32" s="1"/>
      <c r="V32" s="3">
        <f t="shared" si="4"/>
        <v>220</v>
      </c>
      <c r="W32" s="9"/>
      <c r="X32" s="1"/>
      <c r="Y32" s="3">
        <f t="shared" si="5"/>
        <v>220</v>
      </c>
      <c r="Z32" s="9"/>
      <c r="AA32" s="1"/>
      <c r="AB32" s="3">
        <f t="shared" si="6"/>
        <v>220</v>
      </c>
      <c r="AC32" s="9"/>
    </row>
    <row r="33" spans="1:29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R33" s="7">
        <v>11</v>
      </c>
      <c r="S33" s="3">
        <f t="shared" si="7"/>
        <v>230</v>
      </c>
      <c r="T33" s="9">
        <v>3.9445000000000001</v>
      </c>
      <c r="U33" s="1"/>
      <c r="V33" s="3">
        <f t="shared" si="4"/>
        <v>230</v>
      </c>
      <c r="W33" s="9"/>
      <c r="X33" s="1"/>
      <c r="Y33" s="3">
        <f t="shared" si="5"/>
        <v>230</v>
      </c>
      <c r="Z33" s="9"/>
      <c r="AA33" s="1"/>
      <c r="AB33" s="3">
        <f t="shared" si="6"/>
        <v>230</v>
      </c>
      <c r="AC33" s="9"/>
    </row>
    <row r="34" spans="1:29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R34" s="7">
        <v>12</v>
      </c>
      <c r="S34" s="3">
        <f t="shared" si="7"/>
        <v>240</v>
      </c>
      <c r="T34" s="9">
        <v>4.0259999999999998</v>
      </c>
      <c r="U34" s="1"/>
      <c r="V34" s="3">
        <f t="shared" si="4"/>
        <v>240</v>
      </c>
      <c r="W34" s="9"/>
      <c r="X34" s="1"/>
      <c r="Y34" s="3">
        <f t="shared" si="5"/>
        <v>240</v>
      </c>
      <c r="Z34" s="9"/>
      <c r="AA34" s="1"/>
      <c r="AB34" s="3">
        <f t="shared" si="6"/>
        <v>240</v>
      </c>
      <c r="AC34" s="9"/>
    </row>
    <row r="35" spans="1:29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R35" s="7">
        <v>13</v>
      </c>
      <c r="S35" s="3">
        <f t="shared" si="7"/>
        <v>250</v>
      </c>
      <c r="T35" s="9">
        <v>4.1074999999999999</v>
      </c>
      <c r="V35" s="3">
        <f t="shared" si="4"/>
        <v>250</v>
      </c>
      <c r="W35" s="9"/>
      <c r="Y35" s="3">
        <f t="shared" si="5"/>
        <v>250</v>
      </c>
      <c r="Z35" s="11"/>
      <c r="AB35" s="3">
        <f t="shared" si="6"/>
        <v>250</v>
      </c>
      <c r="AC35" s="11"/>
    </row>
    <row r="36" spans="1:29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R36" s="7">
        <v>14</v>
      </c>
      <c r="S36" s="3">
        <f t="shared" si="7"/>
        <v>260</v>
      </c>
      <c r="T36" s="9">
        <v>4.1890000000000001</v>
      </c>
      <c r="V36" s="3">
        <f t="shared" si="4"/>
        <v>260</v>
      </c>
      <c r="W36" s="9"/>
      <c r="Y36" s="3">
        <f t="shared" si="5"/>
        <v>260</v>
      </c>
      <c r="Z36" s="11"/>
      <c r="AB36" s="3">
        <f t="shared" si="6"/>
        <v>260</v>
      </c>
      <c r="AC36" s="11"/>
    </row>
    <row r="37" spans="1:29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R37" s="7">
        <v>15</v>
      </c>
      <c r="S37" s="3">
        <f t="shared" si="7"/>
        <v>270</v>
      </c>
      <c r="T37" s="9">
        <v>4.2705000000000002</v>
      </c>
      <c r="V37" s="3">
        <f t="shared" si="4"/>
        <v>270</v>
      </c>
      <c r="W37" s="9"/>
      <c r="Y37" s="3">
        <f t="shared" si="5"/>
        <v>270</v>
      </c>
      <c r="Z37" s="11"/>
      <c r="AB37" s="3">
        <f t="shared" si="6"/>
        <v>270</v>
      </c>
      <c r="AC37" s="11"/>
    </row>
    <row r="38" spans="1:29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R38" s="7">
        <v>16</v>
      </c>
      <c r="S38" s="3">
        <f t="shared" si="7"/>
        <v>280</v>
      </c>
      <c r="T38" s="9">
        <v>4.3520000000000003</v>
      </c>
      <c r="V38" s="3">
        <f t="shared" si="4"/>
        <v>280</v>
      </c>
      <c r="W38" s="9"/>
      <c r="Y38" s="3">
        <f t="shared" si="5"/>
        <v>280</v>
      </c>
      <c r="Z38" s="11"/>
      <c r="AB38" s="3">
        <f t="shared" si="6"/>
        <v>280</v>
      </c>
      <c r="AC38" s="11"/>
    </row>
    <row r="39" spans="1:29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R39" s="7">
        <v>17</v>
      </c>
      <c r="S39" s="3">
        <f t="shared" si="7"/>
        <v>290</v>
      </c>
      <c r="T39" s="9">
        <v>4.4335000000000004</v>
      </c>
      <c r="V39" s="3">
        <f t="shared" si="4"/>
        <v>290</v>
      </c>
      <c r="W39" s="9"/>
      <c r="Y39" s="3">
        <f t="shared" si="5"/>
        <v>290</v>
      </c>
      <c r="Z39" s="11"/>
      <c r="AB39" s="3">
        <f t="shared" si="6"/>
        <v>290</v>
      </c>
      <c r="AC39" s="11"/>
    </row>
    <row r="40" spans="1:29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R40" s="7">
        <v>18</v>
      </c>
      <c r="S40" s="3">
        <f t="shared" si="7"/>
        <v>300</v>
      </c>
      <c r="T40" s="9">
        <v>4.5150000000000006</v>
      </c>
      <c r="V40" s="3">
        <f t="shared" si="4"/>
        <v>300</v>
      </c>
      <c r="W40" s="9"/>
      <c r="Y40" s="3">
        <f t="shared" si="5"/>
        <v>300</v>
      </c>
      <c r="Z40" s="11"/>
      <c r="AB40" s="3">
        <f t="shared" si="6"/>
        <v>300</v>
      </c>
      <c r="AC40" s="11"/>
    </row>
    <row r="41" spans="1:29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R41" s="7">
        <v>19</v>
      </c>
      <c r="S41" s="3">
        <f t="shared" si="7"/>
        <v>310</v>
      </c>
      <c r="T41" s="9">
        <v>4.5964999999999998</v>
      </c>
      <c r="V41" s="3">
        <f t="shared" si="4"/>
        <v>310</v>
      </c>
      <c r="W41" s="9"/>
      <c r="Y41" s="3">
        <f t="shared" si="5"/>
        <v>310</v>
      </c>
      <c r="Z41" s="11"/>
      <c r="AB41" s="3">
        <f t="shared" si="6"/>
        <v>310</v>
      </c>
      <c r="AC41" s="11"/>
    </row>
    <row r="42" spans="1:29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R42" s="7">
        <v>20</v>
      </c>
      <c r="S42" s="3">
        <f t="shared" si="7"/>
        <v>320</v>
      </c>
      <c r="T42" s="9">
        <v>4.6779999999999999</v>
      </c>
      <c r="V42" s="3">
        <f t="shared" si="4"/>
        <v>320</v>
      </c>
      <c r="W42" s="9"/>
      <c r="Y42" s="3">
        <f t="shared" si="5"/>
        <v>320</v>
      </c>
      <c r="Z42" s="11"/>
      <c r="AB42" s="3">
        <f t="shared" si="6"/>
        <v>320</v>
      </c>
      <c r="AC42" s="11"/>
    </row>
    <row r="43" spans="1:29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R43" s="7">
        <v>21</v>
      </c>
      <c r="S43" s="3">
        <f t="shared" si="7"/>
        <v>330</v>
      </c>
      <c r="T43" s="9">
        <v>4.7595000000000001</v>
      </c>
      <c r="V43" s="3">
        <f t="shared" si="4"/>
        <v>330</v>
      </c>
      <c r="W43" s="9"/>
      <c r="Y43" s="3">
        <f t="shared" si="5"/>
        <v>330</v>
      </c>
      <c r="Z43" s="11"/>
      <c r="AB43" s="3">
        <f t="shared" si="6"/>
        <v>330</v>
      </c>
      <c r="AC43" s="11"/>
    </row>
    <row r="44" spans="1:29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R44" s="7">
        <v>22</v>
      </c>
      <c r="S44" s="3">
        <f t="shared" si="7"/>
        <v>340</v>
      </c>
      <c r="T44" s="9">
        <v>4.8410000000000002</v>
      </c>
      <c r="V44" s="3">
        <f t="shared" si="4"/>
        <v>340</v>
      </c>
      <c r="W44" s="9"/>
      <c r="Y44" s="3">
        <f t="shared" si="5"/>
        <v>340</v>
      </c>
      <c r="Z44" s="11"/>
      <c r="AB44" s="3">
        <f t="shared" si="6"/>
        <v>340</v>
      </c>
      <c r="AC44" s="11"/>
    </row>
    <row r="45" spans="1:29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R45" s="7">
        <v>23</v>
      </c>
      <c r="S45" s="3">
        <f t="shared" si="7"/>
        <v>350</v>
      </c>
      <c r="T45" s="9">
        <v>4.9225000000000003</v>
      </c>
      <c r="V45" s="3">
        <f t="shared" si="4"/>
        <v>350</v>
      </c>
      <c r="W45" s="9"/>
      <c r="Y45" s="3">
        <f t="shared" si="5"/>
        <v>350</v>
      </c>
      <c r="Z45" s="11"/>
      <c r="AB45" s="3">
        <f t="shared" si="6"/>
        <v>350</v>
      </c>
      <c r="AC45" s="11"/>
    </row>
    <row r="46" spans="1:29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R46" s="7">
        <v>24</v>
      </c>
      <c r="S46" s="3">
        <f t="shared" si="7"/>
        <v>360</v>
      </c>
      <c r="T46" s="9">
        <v>5.0039999999999996</v>
      </c>
      <c r="V46" s="3">
        <f t="shared" si="4"/>
        <v>360</v>
      </c>
      <c r="W46" s="9"/>
      <c r="Y46" s="3">
        <f t="shared" si="5"/>
        <v>360</v>
      </c>
      <c r="Z46" s="11"/>
      <c r="AB46" s="3">
        <f t="shared" si="6"/>
        <v>360</v>
      </c>
      <c r="AC46" s="11"/>
    </row>
    <row r="47" spans="1:29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R47" s="7">
        <v>25</v>
      </c>
      <c r="S47" s="3">
        <f t="shared" si="7"/>
        <v>370</v>
      </c>
      <c r="T47" s="9">
        <v>5.0854999999999997</v>
      </c>
      <c r="V47" s="3">
        <f t="shared" si="4"/>
        <v>370</v>
      </c>
      <c r="W47" s="9"/>
      <c r="Y47" s="3">
        <f t="shared" si="5"/>
        <v>370</v>
      </c>
      <c r="Z47" s="11"/>
      <c r="AB47" s="3">
        <f t="shared" si="6"/>
        <v>370</v>
      </c>
      <c r="AC47" s="11"/>
    </row>
    <row r="48" spans="1:29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R48" s="7">
        <v>26</v>
      </c>
      <c r="S48" s="3">
        <f t="shared" si="7"/>
        <v>380</v>
      </c>
      <c r="T48" s="9">
        <v>5.1669999999999998</v>
      </c>
      <c r="V48" s="3">
        <f t="shared" si="4"/>
        <v>380</v>
      </c>
      <c r="W48" s="9"/>
      <c r="Y48" s="3">
        <f t="shared" si="5"/>
        <v>380</v>
      </c>
      <c r="Z48" s="11"/>
      <c r="AB48" s="3">
        <f t="shared" si="6"/>
        <v>380</v>
      </c>
      <c r="AC48" s="11"/>
    </row>
    <row r="49" spans="1:29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R49" s="7">
        <v>27</v>
      </c>
      <c r="S49" s="3">
        <f t="shared" si="7"/>
        <v>390</v>
      </c>
      <c r="T49" s="9">
        <v>5.2484999999999999</v>
      </c>
      <c r="V49" s="3">
        <f t="shared" si="4"/>
        <v>390</v>
      </c>
      <c r="W49" s="9"/>
      <c r="Y49" s="3">
        <f t="shared" si="5"/>
        <v>390</v>
      </c>
      <c r="Z49" s="11"/>
      <c r="AB49" s="3">
        <f t="shared" si="6"/>
        <v>390</v>
      </c>
      <c r="AC49" s="11"/>
    </row>
    <row r="50" spans="1:29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R50" s="7">
        <v>28</v>
      </c>
      <c r="S50" s="3">
        <f t="shared" si="7"/>
        <v>400</v>
      </c>
      <c r="T50" s="9">
        <v>5.33</v>
      </c>
      <c r="V50" s="3">
        <f t="shared" si="4"/>
        <v>400</v>
      </c>
      <c r="W50" s="9"/>
      <c r="Y50" s="3">
        <f t="shared" si="5"/>
        <v>400</v>
      </c>
      <c r="Z50" s="11"/>
      <c r="AB50" s="3">
        <f t="shared" si="6"/>
        <v>400</v>
      </c>
      <c r="AC50" s="11"/>
    </row>
    <row r="51" spans="1:29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R51" s="7">
        <v>29</v>
      </c>
      <c r="S51" s="3">
        <f t="shared" si="7"/>
        <v>410</v>
      </c>
      <c r="T51" s="9">
        <v>5.4083333333333332</v>
      </c>
      <c r="V51" s="3">
        <f t="shared" si="4"/>
        <v>410</v>
      </c>
      <c r="W51" s="9"/>
      <c r="Y51" s="3">
        <f t="shared" si="5"/>
        <v>410</v>
      </c>
      <c r="Z51" s="11"/>
      <c r="AB51" s="3">
        <f t="shared" si="6"/>
        <v>410</v>
      </c>
      <c r="AC51" s="11"/>
    </row>
    <row r="52" spans="1:29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R52" s="7">
        <v>30</v>
      </c>
      <c r="S52" s="3">
        <f t="shared" si="7"/>
        <v>420</v>
      </c>
      <c r="T52" s="9">
        <v>5.4866666666666664</v>
      </c>
      <c r="V52" s="3">
        <f t="shared" si="4"/>
        <v>420</v>
      </c>
      <c r="W52" s="9"/>
      <c r="Y52" s="3">
        <f t="shared" si="5"/>
        <v>420</v>
      </c>
      <c r="Z52" s="11"/>
      <c r="AB52" s="3">
        <f t="shared" si="6"/>
        <v>420</v>
      </c>
      <c r="AC52" s="11"/>
    </row>
    <row r="53" spans="1:29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R53" s="7">
        <v>31</v>
      </c>
      <c r="S53" s="3">
        <f t="shared" si="7"/>
        <v>430</v>
      </c>
      <c r="T53" s="9">
        <v>5.5649999999999995</v>
      </c>
      <c r="V53" s="3">
        <f t="shared" si="4"/>
        <v>430</v>
      </c>
      <c r="W53" s="9"/>
      <c r="Y53" s="3">
        <f t="shared" si="5"/>
        <v>430</v>
      </c>
      <c r="Z53" s="11"/>
      <c r="AB53" s="3">
        <f t="shared" si="6"/>
        <v>430</v>
      </c>
      <c r="AC53" s="11"/>
    </row>
    <row r="54" spans="1:29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R54" s="7">
        <v>32</v>
      </c>
      <c r="S54" s="3">
        <f t="shared" si="7"/>
        <v>440</v>
      </c>
      <c r="T54" s="9">
        <v>5.6433333333333335</v>
      </c>
      <c r="V54" s="3">
        <f t="shared" si="4"/>
        <v>440</v>
      </c>
      <c r="W54" s="9"/>
      <c r="Y54" s="3">
        <f t="shared" si="5"/>
        <v>440</v>
      </c>
      <c r="Z54" s="11"/>
      <c r="AB54" s="3">
        <f t="shared" si="6"/>
        <v>440</v>
      </c>
      <c r="AC54" s="11"/>
    </row>
    <row r="55" spans="1:29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R55" s="7">
        <v>33</v>
      </c>
      <c r="S55" s="3">
        <f t="shared" si="7"/>
        <v>450</v>
      </c>
      <c r="T55" s="9">
        <v>5.7216666666666667</v>
      </c>
      <c r="V55" s="3">
        <f t="shared" si="4"/>
        <v>450</v>
      </c>
      <c r="W55" s="9"/>
      <c r="Y55" s="3">
        <f t="shared" si="5"/>
        <v>450</v>
      </c>
      <c r="Z55" s="11"/>
      <c r="AB55" s="3">
        <f t="shared" si="6"/>
        <v>450</v>
      </c>
      <c r="AC55" s="11"/>
    </row>
    <row r="56" spans="1:29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R56" s="7">
        <v>34</v>
      </c>
      <c r="S56" s="3">
        <f t="shared" si="7"/>
        <v>460</v>
      </c>
      <c r="T56" s="9">
        <v>5.8</v>
      </c>
      <c r="V56" s="3">
        <f t="shared" si="4"/>
        <v>460</v>
      </c>
      <c r="W56" s="9"/>
      <c r="Y56" s="3">
        <f t="shared" si="5"/>
        <v>460</v>
      </c>
      <c r="Z56" s="11"/>
      <c r="AB56" s="3">
        <f t="shared" si="6"/>
        <v>460</v>
      </c>
      <c r="AC56" s="11"/>
    </row>
    <row r="57" spans="1:29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R57" s="7">
        <v>35</v>
      </c>
      <c r="S57" s="3">
        <f t="shared" si="7"/>
        <v>470</v>
      </c>
      <c r="T57" s="9">
        <v>5.85</v>
      </c>
      <c r="V57" s="3">
        <f t="shared" si="4"/>
        <v>470</v>
      </c>
      <c r="W57" s="9"/>
      <c r="Y57" s="3">
        <f t="shared" si="5"/>
        <v>470</v>
      </c>
      <c r="Z57" s="11"/>
      <c r="AB57" s="3">
        <f t="shared" si="6"/>
        <v>470</v>
      </c>
      <c r="AC57" s="11"/>
    </row>
    <row r="58" spans="1:29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R58" s="7">
        <v>36</v>
      </c>
      <c r="S58" s="3">
        <f t="shared" si="7"/>
        <v>480</v>
      </c>
      <c r="T58" s="9">
        <v>5.9</v>
      </c>
      <c r="V58" s="3">
        <f t="shared" si="4"/>
        <v>480</v>
      </c>
      <c r="W58" s="9"/>
      <c r="Y58" s="3">
        <f t="shared" si="5"/>
        <v>480</v>
      </c>
      <c r="Z58" s="11"/>
      <c r="AB58" s="3">
        <f t="shared" si="6"/>
        <v>480</v>
      </c>
      <c r="AC58" s="11"/>
    </row>
    <row r="59" spans="1:29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R59" s="7">
        <v>37</v>
      </c>
      <c r="S59" s="3">
        <f t="shared" si="7"/>
        <v>490</v>
      </c>
      <c r="T59" s="9">
        <v>5.95</v>
      </c>
      <c r="V59" s="3">
        <f t="shared" si="4"/>
        <v>490</v>
      </c>
      <c r="W59" s="9"/>
      <c r="Y59" s="3">
        <f t="shared" si="5"/>
        <v>490</v>
      </c>
      <c r="Z59" s="11"/>
      <c r="AB59" s="3">
        <f t="shared" si="6"/>
        <v>490</v>
      </c>
      <c r="AC59" s="11"/>
    </row>
    <row r="60" spans="1:29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R60" s="7">
        <v>38</v>
      </c>
      <c r="S60" s="3">
        <f t="shared" si="7"/>
        <v>500</v>
      </c>
      <c r="T60" s="9">
        <v>6</v>
      </c>
      <c r="V60" s="3">
        <f t="shared" si="4"/>
        <v>500</v>
      </c>
      <c r="W60" s="9"/>
      <c r="Y60" s="3">
        <f t="shared" si="5"/>
        <v>500</v>
      </c>
      <c r="Z60" s="11"/>
      <c r="AB60" s="3">
        <f t="shared" si="6"/>
        <v>500</v>
      </c>
      <c r="AC60" s="11"/>
    </row>
    <row r="61" spans="1:29" x14ac:dyDescent="0.25">
      <c r="R61" s="7">
        <v>39</v>
      </c>
      <c r="S61" s="3">
        <f t="shared" si="7"/>
        <v>510</v>
      </c>
      <c r="T61" s="9">
        <v>6</v>
      </c>
      <c r="V61" s="3">
        <f t="shared" si="4"/>
        <v>510</v>
      </c>
      <c r="W61" s="9"/>
      <c r="Y61" s="3">
        <f t="shared" si="5"/>
        <v>510</v>
      </c>
      <c r="Z61" s="11"/>
      <c r="AB61" s="3">
        <f t="shared" si="6"/>
        <v>510</v>
      </c>
      <c r="AC61" s="11"/>
    </row>
    <row r="62" spans="1:29" x14ac:dyDescent="0.25">
      <c r="R62" s="7">
        <v>40</v>
      </c>
      <c r="S62" s="3">
        <f t="shared" si="7"/>
        <v>520</v>
      </c>
      <c r="T62" s="9">
        <v>6</v>
      </c>
      <c r="V62" s="3">
        <f t="shared" si="4"/>
        <v>520</v>
      </c>
      <c r="W62" s="9"/>
      <c r="Y62" s="3">
        <f t="shared" si="5"/>
        <v>520</v>
      </c>
      <c r="Z62" s="11"/>
      <c r="AB62" s="3">
        <f t="shared" si="6"/>
        <v>520</v>
      </c>
      <c r="AC62" s="11"/>
    </row>
    <row r="63" spans="1:29" x14ac:dyDescent="0.25">
      <c r="R63" s="7">
        <v>41</v>
      </c>
      <c r="S63" s="3">
        <f t="shared" si="7"/>
        <v>530</v>
      </c>
      <c r="T63" s="9">
        <v>6</v>
      </c>
      <c r="V63" s="3">
        <f t="shared" si="4"/>
        <v>530</v>
      </c>
      <c r="W63" s="9"/>
      <c r="Y63" s="3">
        <f t="shared" si="5"/>
        <v>530</v>
      </c>
      <c r="Z63" s="11"/>
      <c r="AB63" s="3">
        <f t="shared" si="6"/>
        <v>530</v>
      </c>
      <c r="AC63" s="11"/>
    </row>
    <row r="64" spans="1:29" x14ac:dyDescent="0.25">
      <c r="R64" s="7">
        <v>42</v>
      </c>
      <c r="S64" s="3">
        <f t="shared" si="7"/>
        <v>540</v>
      </c>
      <c r="T64" s="9">
        <v>6</v>
      </c>
      <c r="V64" s="3">
        <f t="shared" si="4"/>
        <v>540</v>
      </c>
      <c r="W64" s="9"/>
      <c r="Y64" s="3">
        <f t="shared" si="5"/>
        <v>540</v>
      </c>
      <c r="Z64" s="11"/>
      <c r="AB64" s="3">
        <f t="shared" si="6"/>
        <v>540</v>
      </c>
      <c r="AC64" s="11"/>
    </row>
    <row r="65" spans="18:29" x14ac:dyDescent="0.25">
      <c r="R65" s="7">
        <v>43</v>
      </c>
      <c r="S65" s="3">
        <f t="shared" si="7"/>
        <v>550</v>
      </c>
      <c r="T65" s="9">
        <v>6</v>
      </c>
      <c r="V65" s="3">
        <f t="shared" si="4"/>
        <v>550</v>
      </c>
      <c r="W65" s="9"/>
      <c r="Y65" s="3">
        <f t="shared" si="5"/>
        <v>550</v>
      </c>
      <c r="Z65" s="11"/>
      <c r="AB65" s="3">
        <f t="shared" si="6"/>
        <v>550</v>
      </c>
      <c r="AC65" s="11"/>
    </row>
    <row r="66" spans="18:29" x14ac:dyDescent="0.25">
      <c r="R66" s="7">
        <v>44</v>
      </c>
      <c r="S66" s="3">
        <f t="shared" si="7"/>
        <v>560</v>
      </c>
      <c r="T66" s="9">
        <v>6</v>
      </c>
      <c r="V66" s="3">
        <f t="shared" si="4"/>
        <v>560</v>
      </c>
      <c r="W66" s="9"/>
      <c r="Y66" s="3">
        <f t="shared" si="5"/>
        <v>560</v>
      </c>
      <c r="Z66" s="11"/>
      <c r="AB66" s="3">
        <f t="shared" si="6"/>
        <v>560</v>
      </c>
      <c r="AC66" s="11"/>
    </row>
    <row r="67" spans="18:29" x14ac:dyDescent="0.25">
      <c r="R67" s="7">
        <v>45</v>
      </c>
      <c r="S67" s="3">
        <f t="shared" si="7"/>
        <v>570</v>
      </c>
      <c r="T67" s="9">
        <v>6</v>
      </c>
      <c r="V67" s="3">
        <f t="shared" si="4"/>
        <v>570</v>
      </c>
      <c r="W67" s="9"/>
      <c r="Y67" s="3">
        <f t="shared" si="5"/>
        <v>570</v>
      </c>
      <c r="Z67" s="11"/>
      <c r="AB67" s="3">
        <f t="shared" si="6"/>
        <v>570</v>
      </c>
      <c r="AC67" s="11"/>
    </row>
    <row r="68" spans="18:29" x14ac:dyDescent="0.25">
      <c r="R68" s="7">
        <v>46</v>
      </c>
      <c r="S68" s="3">
        <f t="shared" si="7"/>
        <v>580</v>
      </c>
      <c r="T68" s="9">
        <v>6</v>
      </c>
      <c r="V68" s="3">
        <f t="shared" si="4"/>
        <v>580</v>
      </c>
      <c r="W68" s="9"/>
      <c r="Y68" s="3">
        <f t="shared" si="5"/>
        <v>580</v>
      </c>
      <c r="Z68" s="11"/>
      <c r="AB68" s="3">
        <f t="shared" si="6"/>
        <v>580</v>
      </c>
      <c r="AC68" s="11"/>
    </row>
    <row r="69" spans="18:29" x14ac:dyDescent="0.25">
      <c r="R69" s="7">
        <v>47</v>
      </c>
      <c r="S69" s="3">
        <f t="shared" si="7"/>
        <v>590</v>
      </c>
      <c r="T69" s="9">
        <v>6</v>
      </c>
      <c r="V69" s="3">
        <f t="shared" si="4"/>
        <v>590</v>
      </c>
      <c r="W69" s="9"/>
      <c r="Y69" s="3">
        <f t="shared" si="5"/>
        <v>590</v>
      </c>
      <c r="Z69" s="11"/>
      <c r="AB69" s="3">
        <f t="shared" si="6"/>
        <v>590</v>
      </c>
      <c r="AC69" s="11"/>
    </row>
    <row r="70" spans="18:29" x14ac:dyDescent="0.25">
      <c r="R70" s="7">
        <v>48</v>
      </c>
      <c r="S70" s="3">
        <f t="shared" si="7"/>
        <v>600</v>
      </c>
      <c r="T70" s="9">
        <v>6</v>
      </c>
      <c r="V70" s="3">
        <f t="shared" si="4"/>
        <v>600</v>
      </c>
      <c r="W70" s="9"/>
      <c r="Y70" s="3">
        <f t="shared" si="5"/>
        <v>600</v>
      </c>
      <c r="Z70" s="11"/>
      <c r="AB70" s="3">
        <f t="shared" si="6"/>
        <v>600</v>
      </c>
      <c r="AC70" s="11"/>
    </row>
    <row r="71" spans="18:29" x14ac:dyDescent="0.25">
      <c r="R71" s="7">
        <v>49</v>
      </c>
      <c r="S71" s="3">
        <f t="shared" si="7"/>
        <v>610</v>
      </c>
      <c r="T71" s="9">
        <v>6</v>
      </c>
      <c r="V71" s="3">
        <f t="shared" si="4"/>
        <v>610</v>
      </c>
      <c r="W71" s="9"/>
      <c r="Y71" s="3">
        <f t="shared" si="5"/>
        <v>610</v>
      </c>
      <c r="Z71" s="11"/>
      <c r="AB71" s="3">
        <f t="shared" si="6"/>
        <v>610</v>
      </c>
      <c r="AC71" s="11"/>
    </row>
    <row r="72" spans="18:29" x14ac:dyDescent="0.25">
      <c r="R72" s="7">
        <v>50</v>
      </c>
      <c r="S72" s="3">
        <f t="shared" si="7"/>
        <v>620</v>
      </c>
      <c r="T72" s="9">
        <v>6</v>
      </c>
      <c r="V72" s="3">
        <f t="shared" si="4"/>
        <v>620</v>
      </c>
      <c r="W72" s="9"/>
      <c r="Y72" s="3">
        <f t="shared" si="5"/>
        <v>620</v>
      </c>
      <c r="Z72" s="11"/>
      <c r="AB72" s="3">
        <f t="shared" si="6"/>
        <v>620</v>
      </c>
      <c r="AC72" s="11"/>
    </row>
    <row r="73" spans="18:29" x14ac:dyDescent="0.25">
      <c r="R73" s="7">
        <v>51</v>
      </c>
      <c r="S73" s="3">
        <f t="shared" si="7"/>
        <v>630</v>
      </c>
      <c r="T73" s="9">
        <v>6</v>
      </c>
      <c r="V73" s="3">
        <f t="shared" si="4"/>
        <v>630</v>
      </c>
      <c r="W73" s="9"/>
      <c r="Y73" s="3">
        <f t="shared" si="5"/>
        <v>630</v>
      </c>
      <c r="Z73" s="11"/>
      <c r="AB73" s="3">
        <f t="shared" si="6"/>
        <v>630</v>
      </c>
      <c r="AC73" s="11"/>
    </row>
    <row r="74" spans="18:29" x14ac:dyDescent="0.25">
      <c r="R74" s="7">
        <v>52</v>
      </c>
      <c r="S74" s="3">
        <f t="shared" si="7"/>
        <v>640</v>
      </c>
      <c r="T74" s="9">
        <v>6</v>
      </c>
      <c r="V74" s="3">
        <f t="shared" si="4"/>
        <v>640</v>
      </c>
      <c r="W74" s="9"/>
      <c r="Y74" s="3">
        <f t="shared" si="5"/>
        <v>640</v>
      </c>
      <c r="Z74" s="11"/>
      <c r="AB74" s="3">
        <f t="shared" si="6"/>
        <v>640</v>
      </c>
      <c r="AC74" s="11"/>
    </row>
    <row r="75" spans="18:29" x14ac:dyDescent="0.25">
      <c r="R75" s="7">
        <v>53</v>
      </c>
      <c r="S75" s="3">
        <f t="shared" si="7"/>
        <v>650</v>
      </c>
      <c r="T75" s="9">
        <v>6</v>
      </c>
      <c r="V75" s="3">
        <f t="shared" ref="V75:V119" si="8">S75</f>
        <v>650</v>
      </c>
      <c r="W75" s="9"/>
      <c r="Y75" s="3">
        <f t="shared" ref="Y75:Y119" si="9">S75</f>
        <v>650</v>
      </c>
      <c r="Z75" s="11"/>
      <c r="AB75" s="3">
        <f t="shared" ref="AB75:AB119" si="10">S75</f>
        <v>650</v>
      </c>
      <c r="AC75" s="11"/>
    </row>
    <row r="76" spans="18:29" x14ac:dyDescent="0.25">
      <c r="R76" s="7">
        <v>54</v>
      </c>
      <c r="S76" s="3">
        <f t="shared" ref="S76:S119" si="11">10+S75</f>
        <v>660</v>
      </c>
      <c r="T76" s="9">
        <v>6</v>
      </c>
      <c r="V76" s="3">
        <f t="shared" si="8"/>
        <v>660</v>
      </c>
      <c r="W76" s="9"/>
      <c r="Y76" s="3">
        <f t="shared" si="9"/>
        <v>660</v>
      </c>
      <c r="Z76" s="11"/>
      <c r="AB76" s="3">
        <f t="shared" si="10"/>
        <v>660</v>
      </c>
      <c r="AC76" s="11"/>
    </row>
    <row r="77" spans="18:29" x14ac:dyDescent="0.25">
      <c r="R77" s="7">
        <v>55</v>
      </c>
      <c r="S77" s="3">
        <f t="shared" si="11"/>
        <v>670</v>
      </c>
      <c r="T77" s="9">
        <v>6</v>
      </c>
      <c r="V77" s="3">
        <f t="shared" si="8"/>
        <v>670</v>
      </c>
      <c r="W77" s="9"/>
      <c r="Y77" s="3">
        <f t="shared" si="9"/>
        <v>670</v>
      </c>
      <c r="Z77" s="11"/>
      <c r="AB77" s="3">
        <f t="shared" si="10"/>
        <v>670</v>
      </c>
      <c r="AC77" s="11"/>
    </row>
    <row r="78" spans="18:29" x14ac:dyDescent="0.25">
      <c r="R78" s="7">
        <v>56</v>
      </c>
      <c r="S78" s="3">
        <f t="shared" si="11"/>
        <v>680</v>
      </c>
      <c r="T78" s="9">
        <v>6</v>
      </c>
      <c r="V78" s="3">
        <f t="shared" si="8"/>
        <v>680</v>
      </c>
      <c r="W78" s="9"/>
      <c r="Y78" s="3">
        <f t="shared" si="9"/>
        <v>680</v>
      </c>
      <c r="Z78" s="11"/>
      <c r="AB78" s="3">
        <f t="shared" si="10"/>
        <v>680</v>
      </c>
      <c r="AC78" s="11"/>
    </row>
    <row r="79" spans="18:29" x14ac:dyDescent="0.25">
      <c r="R79" s="7">
        <v>57</v>
      </c>
      <c r="S79" s="3">
        <f t="shared" si="11"/>
        <v>690</v>
      </c>
      <c r="T79" s="9">
        <v>6</v>
      </c>
      <c r="V79" s="3">
        <f t="shared" si="8"/>
        <v>690</v>
      </c>
      <c r="W79" s="9"/>
      <c r="Y79" s="3">
        <f t="shared" si="9"/>
        <v>690</v>
      </c>
      <c r="Z79" s="11"/>
      <c r="AB79" s="3">
        <f t="shared" si="10"/>
        <v>690</v>
      </c>
      <c r="AC79" s="11"/>
    </row>
    <row r="80" spans="18:29" x14ac:dyDescent="0.25">
      <c r="R80" s="7">
        <v>58</v>
      </c>
      <c r="S80" s="3">
        <f t="shared" si="11"/>
        <v>700</v>
      </c>
      <c r="T80" s="9">
        <v>6</v>
      </c>
      <c r="V80" s="3">
        <f t="shared" si="8"/>
        <v>700</v>
      </c>
      <c r="W80" s="9"/>
      <c r="Y80" s="3">
        <f t="shared" si="9"/>
        <v>700</v>
      </c>
      <c r="Z80" s="11"/>
      <c r="AB80" s="3">
        <f t="shared" si="10"/>
        <v>700</v>
      </c>
      <c r="AC80" s="11"/>
    </row>
    <row r="81" spans="18:29" x14ac:dyDescent="0.25">
      <c r="R81" s="7">
        <v>59</v>
      </c>
      <c r="S81" s="3">
        <f t="shared" si="11"/>
        <v>710</v>
      </c>
      <c r="T81" s="9">
        <v>6</v>
      </c>
      <c r="V81" s="3">
        <f t="shared" si="8"/>
        <v>710</v>
      </c>
      <c r="W81" s="9"/>
      <c r="Y81" s="3">
        <f t="shared" si="9"/>
        <v>710</v>
      </c>
      <c r="Z81" s="11"/>
      <c r="AB81" s="3">
        <f t="shared" si="10"/>
        <v>710</v>
      </c>
      <c r="AC81" s="11"/>
    </row>
    <row r="82" spans="18:29" x14ac:dyDescent="0.25">
      <c r="R82" s="7">
        <v>60</v>
      </c>
      <c r="S82" s="3">
        <f t="shared" si="11"/>
        <v>720</v>
      </c>
      <c r="T82" s="9">
        <v>6</v>
      </c>
      <c r="V82" s="3">
        <f t="shared" si="8"/>
        <v>720</v>
      </c>
      <c r="W82" s="9"/>
      <c r="Y82" s="3">
        <f t="shared" si="9"/>
        <v>720</v>
      </c>
      <c r="Z82" s="11"/>
      <c r="AB82" s="3">
        <f t="shared" si="10"/>
        <v>720</v>
      </c>
      <c r="AC82" s="11"/>
    </row>
    <row r="83" spans="18:29" x14ac:dyDescent="0.25">
      <c r="R83" s="7">
        <v>61</v>
      </c>
      <c r="S83" s="3">
        <f t="shared" si="11"/>
        <v>730</v>
      </c>
      <c r="T83" s="9">
        <v>6</v>
      </c>
      <c r="V83" s="3">
        <f t="shared" si="8"/>
        <v>730</v>
      </c>
      <c r="W83" s="9"/>
      <c r="Y83" s="3">
        <f t="shared" si="9"/>
        <v>730</v>
      </c>
      <c r="Z83" s="11"/>
      <c r="AB83" s="3">
        <f t="shared" si="10"/>
        <v>730</v>
      </c>
      <c r="AC83" s="11"/>
    </row>
    <row r="84" spans="18:29" x14ac:dyDescent="0.25">
      <c r="R84" s="7">
        <v>62</v>
      </c>
      <c r="S84" s="3">
        <f t="shared" si="11"/>
        <v>740</v>
      </c>
      <c r="T84" s="9">
        <v>6</v>
      </c>
      <c r="V84" s="3">
        <f t="shared" si="8"/>
        <v>740</v>
      </c>
      <c r="W84" s="9"/>
      <c r="Y84" s="3">
        <f t="shared" si="9"/>
        <v>740</v>
      </c>
      <c r="Z84" s="11"/>
      <c r="AB84" s="3">
        <f t="shared" si="10"/>
        <v>740</v>
      </c>
      <c r="AC84" s="11"/>
    </row>
    <row r="85" spans="18:29" x14ac:dyDescent="0.25">
      <c r="R85" s="7">
        <v>63</v>
      </c>
      <c r="S85" s="3">
        <f t="shared" si="11"/>
        <v>750</v>
      </c>
      <c r="T85" s="9">
        <v>6</v>
      </c>
      <c r="V85" s="3">
        <f t="shared" si="8"/>
        <v>750</v>
      </c>
      <c r="W85" s="9"/>
      <c r="Y85" s="3">
        <f t="shared" si="9"/>
        <v>750</v>
      </c>
      <c r="Z85" s="11"/>
      <c r="AB85" s="3">
        <f t="shared" si="10"/>
        <v>750</v>
      </c>
      <c r="AC85" s="11"/>
    </row>
    <row r="86" spans="18:29" x14ac:dyDescent="0.25">
      <c r="R86" s="7">
        <v>64</v>
      </c>
      <c r="S86" s="3">
        <f t="shared" si="11"/>
        <v>760</v>
      </c>
      <c r="T86" s="9">
        <v>6</v>
      </c>
      <c r="V86" s="3">
        <f t="shared" si="8"/>
        <v>760</v>
      </c>
      <c r="W86" s="9"/>
      <c r="Y86" s="3">
        <f t="shared" si="9"/>
        <v>760</v>
      </c>
      <c r="Z86" s="11"/>
      <c r="AB86" s="3">
        <f t="shared" si="10"/>
        <v>760</v>
      </c>
      <c r="AC86" s="11"/>
    </row>
    <row r="87" spans="18:29" x14ac:dyDescent="0.25">
      <c r="R87" s="7">
        <v>65</v>
      </c>
      <c r="S87" s="3">
        <f t="shared" si="11"/>
        <v>770</v>
      </c>
      <c r="T87" s="9">
        <v>6</v>
      </c>
      <c r="V87" s="3">
        <f t="shared" si="8"/>
        <v>770</v>
      </c>
      <c r="W87" s="9"/>
      <c r="Y87" s="3">
        <f t="shared" si="9"/>
        <v>770</v>
      </c>
      <c r="Z87" s="11"/>
      <c r="AB87" s="3">
        <f t="shared" si="10"/>
        <v>770</v>
      </c>
      <c r="AC87" s="11"/>
    </row>
    <row r="88" spans="18:29" x14ac:dyDescent="0.25">
      <c r="R88" s="7">
        <v>66</v>
      </c>
      <c r="S88" s="3">
        <f t="shared" si="11"/>
        <v>780</v>
      </c>
      <c r="T88" s="9">
        <v>6</v>
      </c>
      <c r="V88" s="3">
        <f t="shared" si="8"/>
        <v>780</v>
      </c>
      <c r="W88" s="9"/>
      <c r="Y88" s="3">
        <f t="shared" si="9"/>
        <v>780</v>
      </c>
      <c r="Z88" s="11"/>
      <c r="AB88" s="3">
        <f t="shared" si="10"/>
        <v>780</v>
      </c>
      <c r="AC88" s="11"/>
    </row>
    <row r="89" spans="18:29" x14ac:dyDescent="0.25">
      <c r="R89" s="7">
        <v>67</v>
      </c>
      <c r="S89" s="3">
        <f t="shared" si="11"/>
        <v>790</v>
      </c>
      <c r="T89" s="9">
        <v>6</v>
      </c>
      <c r="V89" s="3">
        <f t="shared" si="8"/>
        <v>790</v>
      </c>
      <c r="W89" s="9"/>
      <c r="Y89" s="3">
        <f t="shared" si="9"/>
        <v>790</v>
      </c>
      <c r="Z89" s="11"/>
      <c r="AB89" s="3">
        <f t="shared" si="10"/>
        <v>790</v>
      </c>
      <c r="AC89" s="11"/>
    </row>
    <row r="90" spans="18:29" x14ac:dyDescent="0.25">
      <c r="R90" s="7">
        <v>68</v>
      </c>
      <c r="S90" s="3">
        <f t="shared" si="11"/>
        <v>800</v>
      </c>
      <c r="T90" s="9">
        <v>6</v>
      </c>
      <c r="V90" s="3">
        <f t="shared" si="8"/>
        <v>800</v>
      </c>
      <c r="W90" s="9"/>
      <c r="Y90" s="3">
        <f t="shared" si="9"/>
        <v>800</v>
      </c>
      <c r="Z90" s="11"/>
      <c r="AB90" s="3">
        <f t="shared" si="10"/>
        <v>800</v>
      </c>
      <c r="AC90" s="11"/>
    </row>
    <row r="91" spans="18:29" x14ac:dyDescent="0.25">
      <c r="R91" s="7">
        <v>69</v>
      </c>
      <c r="S91" s="3">
        <f t="shared" si="11"/>
        <v>810</v>
      </c>
      <c r="T91" s="9">
        <v>6</v>
      </c>
      <c r="V91" s="3">
        <f t="shared" si="8"/>
        <v>810</v>
      </c>
      <c r="W91" s="9"/>
      <c r="Y91" s="3">
        <f t="shared" si="9"/>
        <v>810</v>
      </c>
      <c r="Z91" s="11"/>
      <c r="AB91" s="3">
        <f t="shared" si="10"/>
        <v>810</v>
      </c>
      <c r="AC91" s="11"/>
    </row>
    <row r="92" spans="18:29" x14ac:dyDescent="0.25">
      <c r="R92" s="7">
        <v>70</v>
      </c>
      <c r="S92" s="3">
        <f t="shared" si="11"/>
        <v>820</v>
      </c>
      <c r="T92" s="9">
        <v>6</v>
      </c>
      <c r="V92" s="3">
        <f t="shared" si="8"/>
        <v>820</v>
      </c>
      <c r="W92" s="9"/>
      <c r="Y92" s="3">
        <f t="shared" si="9"/>
        <v>820</v>
      </c>
      <c r="Z92" s="11"/>
      <c r="AB92" s="3">
        <f t="shared" si="10"/>
        <v>820</v>
      </c>
      <c r="AC92" s="11"/>
    </row>
    <row r="93" spans="18:29" x14ac:dyDescent="0.25">
      <c r="R93" s="7">
        <v>71</v>
      </c>
      <c r="S93" s="3">
        <f t="shared" si="11"/>
        <v>830</v>
      </c>
      <c r="T93" s="9">
        <v>6</v>
      </c>
      <c r="V93" s="3">
        <f t="shared" si="8"/>
        <v>830</v>
      </c>
      <c r="W93" s="9"/>
      <c r="Y93" s="3">
        <f t="shared" si="9"/>
        <v>830</v>
      </c>
      <c r="Z93" s="11"/>
      <c r="AB93" s="3">
        <f t="shared" si="10"/>
        <v>830</v>
      </c>
      <c r="AC93" s="11"/>
    </row>
    <row r="94" spans="18:29" x14ac:dyDescent="0.25">
      <c r="R94" s="7">
        <v>72</v>
      </c>
      <c r="S94" s="3">
        <f t="shared" si="11"/>
        <v>840</v>
      </c>
      <c r="T94" s="9">
        <v>6</v>
      </c>
      <c r="V94" s="3">
        <f t="shared" si="8"/>
        <v>840</v>
      </c>
      <c r="W94" s="9"/>
      <c r="Y94" s="3">
        <f t="shared" si="9"/>
        <v>840</v>
      </c>
      <c r="Z94" s="11"/>
      <c r="AB94" s="3">
        <f t="shared" si="10"/>
        <v>840</v>
      </c>
      <c r="AC94" s="11"/>
    </row>
    <row r="95" spans="18:29" x14ac:dyDescent="0.25">
      <c r="R95" s="7">
        <v>73</v>
      </c>
      <c r="S95" s="3">
        <f t="shared" si="11"/>
        <v>850</v>
      </c>
      <c r="T95" s="9">
        <v>6</v>
      </c>
      <c r="V95" s="3">
        <f t="shared" si="8"/>
        <v>850</v>
      </c>
      <c r="W95" s="9"/>
      <c r="Y95" s="3">
        <f t="shared" si="9"/>
        <v>850</v>
      </c>
      <c r="Z95" s="11"/>
      <c r="AB95" s="3">
        <f t="shared" si="10"/>
        <v>850</v>
      </c>
      <c r="AC95" s="11"/>
    </row>
    <row r="96" spans="18:29" x14ac:dyDescent="0.25">
      <c r="R96" s="7">
        <v>74</v>
      </c>
      <c r="S96" s="3">
        <f t="shared" si="11"/>
        <v>860</v>
      </c>
      <c r="T96" s="9">
        <v>6</v>
      </c>
      <c r="V96" s="3">
        <f t="shared" si="8"/>
        <v>860</v>
      </c>
      <c r="W96" s="9"/>
      <c r="Y96" s="3">
        <f t="shared" si="9"/>
        <v>860</v>
      </c>
      <c r="Z96" s="11"/>
      <c r="AB96" s="3">
        <f t="shared" si="10"/>
        <v>860</v>
      </c>
      <c r="AC96" s="11"/>
    </row>
    <row r="97" spans="18:29" x14ac:dyDescent="0.25">
      <c r="R97" s="7">
        <v>75</v>
      </c>
      <c r="S97" s="3">
        <f t="shared" si="11"/>
        <v>870</v>
      </c>
      <c r="T97" s="9">
        <v>6</v>
      </c>
      <c r="V97" s="3">
        <f t="shared" si="8"/>
        <v>870</v>
      </c>
      <c r="W97" s="9"/>
      <c r="Y97" s="3">
        <f t="shared" si="9"/>
        <v>870</v>
      </c>
      <c r="Z97" s="11"/>
      <c r="AB97" s="3">
        <f t="shared" si="10"/>
        <v>870</v>
      </c>
      <c r="AC97" s="11"/>
    </row>
    <row r="98" spans="18:29" x14ac:dyDescent="0.25">
      <c r="R98" s="7">
        <v>76</v>
      </c>
      <c r="S98" s="3">
        <f t="shared" si="11"/>
        <v>880</v>
      </c>
      <c r="T98" s="9">
        <v>6</v>
      </c>
      <c r="V98" s="3">
        <f t="shared" si="8"/>
        <v>880</v>
      </c>
      <c r="W98" s="9"/>
      <c r="Y98" s="3">
        <f t="shared" si="9"/>
        <v>880</v>
      </c>
      <c r="Z98" s="11"/>
      <c r="AB98" s="3">
        <f t="shared" si="10"/>
        <v>880</v>
      </c>
      <c r="AC98" s="11"/>
    </row>
    <row r="99" spans="18:29" x14ac:dyDescent="0.25">
      <c r="R99" s="7">
        <v>77</v>
      </c>
      <c r="S99" s="3">
        <f t="shared" si="11"/>
        <v>890</v>
      </c>
      <c r="T99" s="9">
        <v>6</v>
      </c>
      <c r="V99" s="3">
        <f t="shared" si="8"/>
        <v>890</v>
      </c>
      <c r="W99" s="9"/>
      <c r="Y99" s="3">
        <f t="shared" si="9"/>
        <v>890</v>
      </c>
      <c r="Z99" s="11"/>
      <c r="AB99" s="3">
        <f t="shared" si="10"/>
        <v>890</v>
      </c>
      <c r="AC99" s="11"/>
    </row>
    <row r="100" spans="18:29" x14ac:dyDescent="0.25">
      <c r="R100" s="7">
        <v>78</v>
      </c>
      <c r="S100" s="3">
        <f t="shared" si="11"/>
        <v>900</v>
      </c>
      <c r="T100" s="9">
        <v>6</v>
      </c>
      <c r="V100" s="3">
        <f t="shared" si="8"/>
        <v>900</v>
      </c>
      <c r="W100" s="9"/>
      <c r="Y100" s="3">
        <f t="shared" si="9"/>
        <v>900</v>
      </c>
      <c r="Z100" s="11"/>
      <c r="AB100" s="3">
        <f t="shared" si="10"/>
        <v>900</v>
      </c>
      <c r="AC100" s="11"/>
    </row>
    <row r="101" spans="18:29" x14ac:dyDescent="0.25">
      <c r="R101" s="7">
        <v>79</v>
      </c>
      <c r="S101" s="3">
        <f t="shared" si="11"/>
        <v>910</v>
      </c>
      <c r="T101" s="9">
        <v>6</v>
      </c>
      <c r="V101" s="3">
        <f t="shared" si="8"/>
        <v>910</v>
      </c>
      <c r="W101" s="9"/>
      <c r="Y101" s="3">
        <f t="shared" si="9"/>
        <v>910</v>
      </c>
      <c r="Z101" s="11"/>
      <c r="AB101" s="3">
        <f t="shared" si="10"/>
        <v>910</v>
      </c>
      <c r="AC101" s="11"/>
    </row>
    <row r="102" spans="18:29" x14ac:dyDescent="0.25">
      <c r="R102" s="7">
        <v>80</v>
      </c>
      <c r="S102" s="3">
        <f t="shared" si="11"/>
        <v>920</v>
      </c>
      <c r="T102" s="9">
        <v>6</v>
      </c>
      <c r="V102" s="3">
        <f t="shared" si="8"/>
        <v>920</v>
      </c>
      <c r="W102" s="9"/>
      <c r="Y102" s="3">
        <f t="shared" si="9"/>
        <v>920</v>
      </c>
      <c r="Z102" s="11"/>
      <c r="AB102" s="3">
        <f t="shared" si="10"/>
        <v>920</v>
      </c>
      <c r="AC102" s="11"/>
    </row>
    <row r="103" spans="18:29" x14ac:dyDescent="0.25">
      <c r="R103" s="7">
        <v>81</v>
      </c>
      <c r="S103" s="3">
        <f t="shared" si="11"/>
        <v>930</v>
      </c>
      <c r="T103" s="9">
        <v>6</v>
      </c>
      <c r="V103" s="3">
        <f t="shared" si="8"/>
        <v>930</v>
      </c>
      <c r="W103" s="9"/>
      <c r="Y103" s="3">
        <f t="shared" si="9"/>
        <v>930</v>
      </c>
      <c r="Z103" s="11"/>
      <c r="AB103" s="3">
        <f t="shared" si="10"/>
        <v>930</v>
      </c>
      <c r="AC103" s="11"/>
    </row>
    <row r="104" spans="18:29" x14ac:dyDescent="0.25">
      <c r="R104" s="7">
        <v>82</v>
      </c>
      <c r="S104" s="3">
        <f t="shared" si="11"/>
        <v>940</v>
      </c>
      <c r="T104" s="9">
        <v>6</v>
      </c>
      <c r="V104" s="3">
        <f t="shared" si="8"/>
        <v>940</v>
      </c>
      <c r="W104" s="9"/>
      <c r="Y104" s="3">
        <f t="shared" si="9"/>
        <v>940</v>
      </c>
      <c r="Z104" s="11"/>
      <c r="AB104" s="3">
        <f t="shared" si="10"/>
        <v>940</v>
      </c>
      <c r="AC104" s="11"/>
    </row>
    <row r="105" spans="18:29" x14ac:dyDescent="0.25">
      <c r="R105" s="7">
        <v>83</v>
      </c>
      <c r="S105" s="3">
        <f t="shared" si="11"/>
        <v>950</v>
      </c>
      <c r="T105" s="9">
        <v>6</v>
      </c>
      <c r="V105" s="3">
        <f t="shared" si="8"/>
        <v>950</v>
      </c>
      <c r="W105" s="9"/>
      <c r="Y105" s="3">
        <f t="shared" si="9"/>
        <v>950</v>
      </c>
      <c r="Z105" s="11"/>
      <c r="AB105" s="3">
        <f t="shared" si="10"/>
        <v>950</v>
      </c>
      <c r="AC105" s="11"/>
    </row>
    <row r="106" spans="18:29" x14ac:dyDescent="0.25">
      <c r="R106" s="7">
        <v>84</v>
      </c>
      <c r="S106" s="3">
        <f t="shared" si="11"/>
        <v>960</v>
      </c>
      <c r="T106" s="9">
        <v>6</v>
      </c>
      <c r="V106" s="3">
        <f t="shared" si="8"/>
        <v>960</v>
      </c>
      <c r="W106" s="9"/>
      <c r="Y106" s="3">
        <f t="shared" si="9"/>
        <v>960</v>
      </c>
      <c r="Z106" s="11"/>
      <c r="AB106" s="3">
        <f t="shared" si="10"/>
        <v>960</v>
      </c>
      <c r="AC106" s="11"/>
    </row>
    <row r="107" spans="18:29" x14ac:dyDescent="0.25">
      <c r="R107" s="7">
        <v>85</v>
      </c>
      <c r="S107" s="3">
        <f t="shared" si="11"/>
        <v>970</v>
      </c>
      <c r="T107" s="9">
        <v>6</v>
      </c>
      <c r="V107" s="3">
        <f t="shared" si="8"/>
        <v>970</v>
      </c>
      <c r="W107" s="9"/>
      <c r="Y107" s="3">
        <f t="shared" si="9"/>
        <v>970</v>
      </c>
      <c r="Z107" s="11"/>
      <c r="AB107" s="3">
        <f t="shared" si="10"/>
        <v>970</v>
      </c>
      <c r="AC107" s="11"/>
    </row>
    <row r="108" spans="18:29" x14ac:dyDescent="0.25">
      <c r="R108" s="7">
        <v>86</v>
      </c>
      <c r="S108" s="3">
        <f t="shared" si="11"/>
        <v>980</v>
      </c>
      <c r="T108" s="9">
        <v>6</v>
      </c>
      <c r="V108" s="3">
        <f t="shared" si="8"/>
        <v>980</v>
      </c>
      <c r="W108" s="9"/>
      <c r="Y108" s="3">
        <f t="shared" si="9"/>
        <v>980</v>
      </c>
      <c r="Z108" s="11"/>
      <c r="AB108" s="3">
        <f t="shared" si="10"/>
        <v>980</v>
      </c>
      <c r="AC108" s="11"/>
    </row>
    <row r="109" spans="18:29" x14ac:dyDescent="0.25">
      <c r="R109" s="7">
        <v>87</v>
      </c>
      <c r="S109" s="3">
        <f t="shared" si="11"/>
        <v>990</v>
      </c>
      <c r="T109" s="9">
        <v>6</v>
      </c>
      <c r="V109" s="3">
        <f t="shared" si="8"/>
        <v>990</v>
      </c>
      <c r="W109" s="9"/>
      <c r="Y109" s="3">
        <f t="shared" si="9"/>
        <v>990</v>
      </c>
      <c r="Z109" s="11"/>
      <c r="AB109" s="3">
        <f t="shared" si="10"/>
        <v>990</v>
      </c>
      <c r="AC109" s="11"/>
    </row>
    <row r="110" spans="18:29" x14ac:dyDescent="0.25">
      <c r="R110" s="7">
        <v>88</v>
      </c>
      <c r="S110" s="3">
        <f t="shared" si="11"/>
        <v>1000</v>
      </c>
      <c r="T110" s="9">
        <v>6</v>
      </c>
      <c r="V110" s="3">
        <f t="shared" si="8"/>
        <v>1000</v>
      </c>
      <c r="W110" s="9"/>
      <c r="Y110" s="3">
        <f t="shared" si="9"/>
        <v>1000</v>
      </c>
      <c r="Z110" s="11"/>
      <c r="AB110" s="3">
        <f t="shared" si="10"/>
        <v>1000</v>
      </c>
      <c r="AC110" s="11"/>
    </row>
    <row r="111" spans="18:29" x14ac:dyDescent="0.25">
      <c r="R111" s="7">
        <v>89</v>
      </c>
      <c r="S111" s="3">
        <f t="shared" si="11"/>
        <v>1010</v>
      </c>
      <c r="T111" s="9">
        <v>6</v>
      </c>
      <c r="V111" s="3">
        <f t="shared" si="8"/>
        <v>1010</v>
      </c>
      <c r="W111" s="9"/>
      <c r="Y111" s="3">
        <f t="shared" si="9"/>
        <v>1010</v>
      </c>
      <c r="Z111" s="9"/>
      <c r="AB111" s="3">
        <f t="shared" si="10"/>
        <v>1010</v>
      </c>
      <c r="AC111" s="9"/>
    </row>
    <row r="112" spans="18:29" x14ac:dyDescent="0.25">
      <c r="R112" s="7">
        <v>90</v>
      </c>
      <c r="S112" s="3">
        <f t="shared" si="11"/>
        <v>1020</v>
      </c>
      <c r="T112" s="9">
        <v>6</v>
      </c>
      <c r="V112" s="3">
        <f t="shared" si="8"/>
        <v>1020</v>
      </c>
      <c r="W112" s="9"/>
      <c r="Y112" s="3">
        <f t="shared" si="9"/>
        <v>1020</v>
      </c>
      <c r="Z112" s="9"/>
      <c r="AB112" s="3">
        <f t="shared" si="10"/>
        <v>1020</v>
      </c>
      <c r="AC112" s="9"/>
    </row>
    <row r="113" spans="18:29" x14ac:dyDescent="0.25">
      <c r="R113" s="7">
        <v>91</v>
      </c>
      <c r="S113" s="3">
        <f t="shared" si="11"/>
        <v>1030</v>
      </c>
      <c r="T113" s="9">
        <v>6</v>
      </c>
      <c r="V113" s="3">
        <f t="shared" si="8"/>
        <v>1030</v>
      </c>
      <c r="W113" s="9"/>
      <c r="Y113" s="3">
        <f t="shared" si="9"/>
        <v>1030</v>
      </c>
      <c r="Z113" s="9"/>
      <c r="AB113" s="3">
        <f t="shared" si="10"/>
        <v>1030</v>
      </c>
      <c r="AC113" s="9"/>
    </row>
    <row r="114" spans="18:29" x14ac:dyDescent="0.25">
      <c r="R114" s="7">
        <v>92</v>
      </c>
      <c r="S114" s="3">
        <f t="shared" si="11"/>
        <v>1040</v>
      </c>
      <c r="T114" s="9">
        <v>6</v>
      </c>
      <c r="V114" s="3">
        <f t="shared" si="8"/>
        <v>1040</v>
      </c>
      <c r="W114" s="9"/>
      <c r="Y114" s="3">
        <f t="shared" si="9"/>
        <v>1040</v>
      </c>
      <c r="Z114" s="9"/>
      <c r="AB114" s="3">
        <f t="shared" si="10"/>
        <v>1040</v>
      </c>
      <c r="AC114" s="9"/>
    </row>
    <row r="115" spans="18:29" x14ac:dyDescent="0.25">
      <c r="R115" s="7">
        <v>93</v>
      </c>
      <c r="S115" s="3">
        <f t="shared" si="11"/>
        <v>1050</v>
      </c>
      <c r="T115" s="9">
        <v>6</v>
      </c>
      <c r="V115" s="3">
        <f t="shared" si="8"/>
        <v>1050</v>
      </c>
      <c r="W115" s="9"/>
      <c r="Y115" s="3">
        <f t="shared" si="9"/>
        <v>1050</v>
      </c>
      <c r="Z115" s="9"/>
      <c r="AB115" s="3">
        <f t="shared" si="10"/>
        <v>1050</v>
      </c>
      <c r="AC115" s="9"/>
    </row>
    <row r="116" spans="18:29" x14ac:dyDescent="0.25">
      <c r="R116" s="7">
        <v>94</v>
      </c>
      <c r="S116" s="3">
        <f t="shared" si="11"/>
        <v>1060</v>
      </c>
      <c r="T116" s="9">
        <v>6</v>
      </c>
      <c r="V116" s="3">
        <f t="shared" si="8"/>
        <v>1060</v>
      </c>
      <c r="W116" s="9"/>
      <c r="Y116" s="3">
        <f t="shared" si="9"/>
        <v>1060</v>
      </c>
      <c r="Z116" s="9"/>
      <c r="AB116" s="3">
        <f t="shared" si="10"/>
        <v>1060</v>
      </c>
      <c r="AC116" s="9"/>
    </row>
    <row r="117" spans="18:29" x14ac:dyDescent="0.25">
      <c r="R117" s="7">
        <v>95</v>
      </c>
      <c r="S117" s="3">
        <f t="shared" si="11"/>
        <v>1070</v>
      </c>
      <c r="T117" s="9">
        <v>6</v>
      </c>
      <c r="V117" s="3">
        <f t="shared" si="8"/>
        <v>1070</v>
      </c>
      <c r="W117" s="9"/>
      <c r="Y117" s="3">
        <f t="shared" si="9"/>
        <v>1070</v>
      </c>
      <c r="Z117" s="9"/>
      <c r="AB117" s="3">
        <f t="shared" si="10"/>
        <v>1070</v>
      </c>
      <c r="AC117" s="9"/>
    </row>
    <row r="118" spans="18:29" x14ac:dyDescent="0.25">
      <c r="R118" s="7">
        <v>96</v>
      </c>
      <c r="S118" s="3">
        <f t="shared" si="11"/>
        <v>1080</v>
      </c>
      <c r="T118" s="9">
        <v>6</v>
      </c>
      <c r="V118" s="3">
        <f t="shared" si="8"/>
        <v>1080</v>
      </c>
      <c r="W118" s="9"/>
      <c r="Y118" s="3">
        <f t="shared" si="9"/>
        <v>1080</v>
      </c>
      <c r="Z118" s="9"/>
      <c r="AB118" s="3">
        <f t="shared" si="10"/>
        <v>1080</v>
      </c>
      <c r="AC118" s="9"/>
    </row>
    <row r="119" spans="18:29" x14ac:dyDescent="0.25">
      <c r="R119" s="7">
        <v>97</v>
      </c>
      <c r="S119" s="3">
        <f t="shared" si="11"/>
        <v>1090</v>
      </c>
      <c r="T119" s="9">
        <v>6</v>
      </c>
      <c r="V119" s="3">
        <f t="shared" si="8"/>
        <v>1090</v>
      </c>
      <c r="W119" s="9"/>
      <c r="Y119" s="3">
        <f t="shared" si="9"/>
        <v>1090</v>
      </c>
      <c r="Z119" s="9"/>
      <c r="AB119" s="3">
        <f t="shared" si="10"/>
        <v>1090</v>
      </c>
      <c r="AC119" s="9"/>
    </row>
    <row r="120" spans="18:29" x14ac:dyDescent="0.25">
      <c r="R120" s="7">
        <v>98</v>
      </c>
    </row>
    <row r="121" spans="18:29" x14ac:dyDescent="0.25">
      <c r="R121" s="7">
        <v>99</v>
      </c>
    </row>
    <row r="122" spans="18:29" x14ac:dyDescent="0.25">
      <c r="R122" s="7">
        <v>100</v>
      </c>
    </row>
    <row r="123" spans="18:29" x14ac:dyDescent="0.25">
      <c r="R123" s="7">
        <v>101</v>
      </c>
    </row>
    <row r="124" spans="18:29" x14ac:dyDescent="0.25">
      <c r="R124" s="7">
        <v>102</v>
      </c>
    </row>
    <row r="125" spans="18:29" x14ac:dyDescent="0.25">
      <c r="R125" s="7">
        <v>103</v>
      </c>
    </row>
    <row r="126" spans="18:29" x14ac:dyDescent="0.25">
      <c r="R126" s="7">
        <v>104</v>
      </c>
    </row>
    <row r="127" spans="18:29" x14ac:dyDescent="0.25">
      <c r="R127" s="7">
        <v>105</v>
      </c>
    </row>
    <row r="128" spans="18:29" x14ac:dyDescent="0.25">
      <c r="R128" s="7">
        <v>106</v>
      </c>
    </row>
    <row r="129" spans="18:20" x14ac:dyDescent="0.25">
      <c r="R129" s="7">
        <v>107</v>
      </c>
    </row>
    <row r="130" spans="18:20" x14ac:dyDescent="0.25">
      <c r="R130" s="7">
        <v>108</v>
      </c>
    </row>
    <row r="131" spans="18:20" x14ac:dyDescent="0.25">
      <c r="R131" s="7">
        <v>109</v>
      </c>
    </row>
    <row r="132" spans="18:20" x14ac:dyDescent="0.25">
      <c r="R132" s="7">
        <v>110</v>
      </c>
    </row>
    <row r="133" spans="18:20" x14ac:dyDescent="0.25">
      <c r="T133" s="8"/>
    </row>
    <row r="134" spans="18:20" x14ac:dyDescent="0.25">
      <c r="T134" s="8"/>
    </row>
    <row r="135" spans="18:20" x14ac:dyDescent="0.25">
      <c r="T135" s="8"/>
    </row>
    <row r="136" spans="18:20" x14ac:dyDescent="0.25">
      <c r="T136" s="8"/>
    </row>
    <row r="137" spans="18:20" x14ac:dyDescent="0.25">
      <c r="T137" s="8"/>
    </row>
    <row r="138" spans="18:20" x14ac:dyDescent="0.25">
      <c r="T138" s="8"/>
    </row>
    <row r="139" spans="18:20" x14ac:dyDescent="0.25">
      <c r="T139" s="8"/>
    </row>
    <row r="140" spans="18:20" x14ac:dyDescent="0.25">
      <c r="T140" s="8"/>
    </row>
    <row r="141" spans="18:20" x14ac:dyDescent="0.25">
      <c r="T141" s="8"/>
    </row>
    <row r="142" spans="18:20" x14ac:dyDescent="0.25">
      <c r="T142" s="8"/>
    </row>
    <row r="143" spans="18:20" x14ac:dyDescent="0.25">
      <c r="T143" s="8"/>
    </row>
    <row r="144" spans="18:20" x14ac:dyDescent="0.25">
      <c r="T144" s="8"/>
    </row>
    <row r="145" spans="20:20" x14ac:dyDescent="0.25">
      <c r="T145" s="8"/>
    </row>
    <row r="146" spans="20:20" x14ac:dyDescent="0.25">
      <c r="T146" s="8"/>
    </row>
    <row r="147" spans="20:20" x14ac:dyDescent="0.25">
      <c r="T147" s="8"/>
    </row>
    <row r="148" spans="20:20" x14ac:dyDescent="0.25">
      <c r="T148" s="8"/>
    </row>
    <row r="149" spans="20:20" x14ac:dyDescent="0.25">
      <c r="T149" s="8"/>
    </row>
    <row r="150" spans="20:20" x14ac:dyDescent="0.25">
      <c r="T150" s="8"/>
    </row>
    <row r="151" spans="20:20" x14ac:dyDescent="0.25">
      <c r="T151" s="8"/>
    </row>
    <row r="152" spans="20:20" x14ac:dyDescent="0.25">
      <c r="T152" s="8"/>
    </row>
    <row r="153" spans="20:20" x14ac:dyDescent="0.25">
      <c r="T153" s="8"/>
    </row>
    <row r="154" spans="20:20" x14ac:dyDescent="0.25">
      <c r="T154" s="8"/>
    </row>
    <row r="155" spans="20:20" x14ac:dyDescent="0.25">
      <c r="T155" s="8"/>
    </row>
    <row r="156" spans="20:20" x14ac:dyDescent="0.25">
      <c r="T156" s="8"/>
    </row>
    <row r="157" spans="20:20" x14ac:dyDescent="0.25">
      <c r="T157" s="8"/>
    </row>
    <row r="158" spans="20:20" x14ac:dyDescent="0.25">
      <c r="T158" s="8"/>
    </row>
    <row r="159" spans="20:20" x14ac:dyDescent="0.25">
      <c r="T159" s="8"/>
    </row>
    <row r="160" spans="20:20" x14ac:dyDescent="0.25">
      <c r="T160" s="8"/>
    </row>
    <row r="161" spans="20:20" x14ac:dyDescent="0.25">
      <c r="T161" s="8"/>
    </row>
    <row r="162" spans="20:20" x14ac:dyDescent="0.25">
      <c r="T162" s="8"/>
    </row>
    <row r="163" spans="20:20" x14ac:dyDescent="0.25">
      <c r="T163" s="8"/>
    </row>
    <row r="164" spans="20:20" x14ac:dyDescent="0.25">
      <c r="T164" s="8"/>
    </row>
    <row r="165" spans="20:20" x14ac:dyDescent="0.25">
      <c r="T165" s="8"/>
    </row>
    <row r="166" spans="20:20" x14ac:dyDescent="0.25">
      <c r="T166" s="8"/>
    </row>
    <row r="167" spans="20:20" x14ac:dyDescent="0.25">
      <c r="T167" s="8"/>
    </row>
    <row r="168" spans="20:20" x14ac:dyDescent="0.25">
      <c r="T168" s="8"/>
    </row>
    <row r="169" spans="20:20" x14ac:dyDescent="0.25">
      <c r="T169" s="8"/>
    </row>
    <row r="170" spans="20:20" x14ac:dyDescent="0.25">
      <c r="T170" s="8"/>
    </row>
    <row r="171" spans="20:20" x14ac:dyDescent="0.25">
      <c r="T171" s="8"/>
    </row>
    <row r="172" spans="20:20" x14ac:dyDescent="0.25">
      <c r="T172" s="8"/>
    </row>
    <row r="173" spans="20:20" x14ac:dyDescent="0.25">
      <c r="T173" s="8"/>
    </row>
    <row r="174" spans="20:20" x14ac:dyDescent="0.25">
      <c r="T174" s="8"/>
    </row>
    <row r="175" spans="20:20" x14ac:dyDescent="0.25">
      <c r="T175" s="8"/>
    </row>
    <row r="176" spans="20:20" x14ac:dyDescent="0.25">
      <c r="T176" s="8"/>
    </row>
    <row r="177" spans="20:20" x14ac:dyDescent="0.25">
      <c r="T177" s="8"/>
    </row>
    <row r="178" spans="20:20" x14ac:dyDescent="0.25">
      <c r="T178" s="8"/>
    </row>
    <row r="179" spans="20:20" x14ac:dyDescent="0.25">
      <c r="T179" s="8"/>
    </row>
    <row r="180" spans="20:20" x14ac:dyDescent="0.25">
      <c r="T180" s="8"/>
    </row>
    <row r="181" spans="20:20" x14ac:dyDescent="0.25">
      <c r="T181" s="8"/>
    </row>
    <row r="182" spans="20:20" x14ac:dyDescent="0.25">
      <c r="T182" s="8"/>
    </row>
    <row r="183" spans="20:20" x14ac:dyDescent="0.25">
      <c r="T183" s="8"/>
    </row>
    <row r="184" spans="20:20" x14ac:dyDescent="0.25">
      <c r="T184" s="8"/>
    </row>
    <row r="185" spans="20:20" x14ac:dyDescent="0.25">
      <c r="T185" s="8"/>
    </row>
    <row r="186" spans="20:20" x14ac:dyDescent="0.25">
      <c r="T186" s="8"/>
    </row>
    <row r="187" spans="20:20" x14ac:dyDescent="0.25">
      <c r="T187" s="8"/>
    </row>
    <row r="188" spans="20:20" x14ac:dyDescent="0.25">
      <c r="T188" s="8"/>
    </row>
    <row r="189" spans="20:20" x14ac:dyDescent="0.25">
      <c r="T189" s="8"/>
    </row>
    <row r="190" spans="20:20" x14ac:dyDescent="0.25">
      <c r="T190" s="8"/>
    </row>
    <row r="191" spans="20:20" x14ac:dyDescent="0.25">
      <c r="T191" s="8"/>
    </row>
    <row r="192" spans="20:20" x14ac:dyDescent="0.25">
      <c r="T192" s="8"/>
    </row>
    <row r="193" spans="20:20" x14ac:dyDescent="0.25">
      <c r="T193" s="8"/>
    </row>
    <row r="194" spans="20:20" x14ac:dyDescent="0.25">
      <c r="T194" s="8"/>
    </row>
    <row r="195" spans="20:20" x14ac:dyDescent="0.25">
      <c r="T195" s="8"/>
    </row>
    <row r="196" spans="20:20" x14ac:dyDescent="0.25">
      <c r="T196" s="8"/>
    </row>
    <row r="197" spans="20:20" x14ac:dyDescent="0.25">
      <c r="T197" s="8"/>
    </row>
    <row r="198" spans="20:20" x14ac:dyDescent="0.25">
      <c r="T198" s="8"/>
    </row>
    <row r="199" spans="20:20" x14ac:dyDescent="0.25">
      <c r="T199" s="8"/>
    </row>
    <row r="200" spans="20:20" x14ac:dyDescent="0.25">
      <c r="T200" s="8"/>
    </row>
    <row r="201" spans="20:20" x14ac:dyDescent="0.25">
      <c r="T201" s="8"/>
    </row>
    <row r="202" spans="20:20" x14ac:dyDescent="0.25">
      <c r="T202" s="8"/>
    </row>
    <row r="203" spans="20:20" x14ac:dyDescent="0.25">
      <c r="T203" s="8"/>
    </row>
    <row r="204" spans="20:20" x14ac:dyDescent="0.25">
      <c r="T204" s="8"/>
    </row>
    <row r="205" spans="20:20" x14ac:dyDescent="0.25">
      <c r="T205" s="8"/>
    </row>
    <row r="206" spans="20:20" x14ac:dyDescent="0.25">
      <c r="T206" s="8"/>
    </row>
    <row r="207" spans="20:20" x14ac:dyDescent="0.25">
      <c r="T207" s="8"/>
    </row>
    <row r="208" spans="20:20" x14ac:dyDescent="0.25">
      <c r="T208" s="8"/>
    </row>
    <row r="209" spans="20:20" x14ac:dyDescent="0.25">
      <c r="T209" s="8"/>
    </row>
    <row r="210" spans="20:20" x14ac:dyDescent="0.25">
      <c r="T210" s="8"/>
    </row>
    <row r="211" spans="20:20" x14ac:dyDescent="0.25">
      <c r="T211" s="8"/>
    </row>
    <row r="212" spans="20:20" x14ac:dyDescent="0.25">
      <c r="T212" s="8"/>
    </row>
    <row r="213" spans="20:20" x14ac:dyDescent="0.25">
      <c r="T213" s="8"/>
    </row>
    <row r="214" spans="20:20" x14ac:dyDescent="0.25">
      <c r="T214" s="8"/>
    </row>
    <row r="215" spans="20:20" x14ac:dyDescent="0.25">
      <c r="T215" s="8"/>
    </row>
    <row r="216" spans="20:20" x14ac:dyDescent="0.25">
      <c r="T216" s="8"/>
    </row>
    <row r="217" spans="20:20" x14ac:dyDescent="0.25">
      <c r="T217" s="8"/>
    </row>
    <row r="218" spans="20:20" x14ac:dyDescent="0.25">
      <c r="T218" s="8"/>
    </row>
    <row r="219" spans="20:20" x14ac:dyDescent="0.25">
      <c r="T219" s="8"/>
    </row>
    <row r="220" spans="20:20" x14ac:dyDescent="0.25">
      <c r="T220" s="8"/>
    </row>
    <row r="221" spans="20:20" x14ac:dyDescent="0.25">
      <c r="T221" s="8"/>
    </row>
    <row r="222" spans="20:20" x14ac:dyDescent="0.25">
      <c r="T222" s="8"/>
    </row>
    <row r="223" spans="20:20" x14ac:dyDescent="0.25">
      <c r="T223" s="8"/>
    </row>
    <row r="224" spans="20:20" x14ac:dyDescent="0.25">
      <c r="T224" s="8"/>
    </row>
    <row r="225" spans="20:20" x14ac:dyDescent="0.25">
      <c r="T225" s="8"/>
    </row>
    <row r="226" spans="20:20" x14ac:dyDescent="0.25">
      <c r="T226" s="8"/>
    </row>
    <row r="227" spans="20:20" x14ac:dyDescent="0.25">
      <c r="T227" s="8"/>
    </row>
    <row r="228" spans="20:20" x14ac:dyDescent="0.25">
      <c r="T228" s="8"/>
    </row>
    <row r="229" spans="20:20" x14ac:dyDescent="0.25">
      <c r="T229" s="8"/>
    </row>
    <row r="230" spans="20:20" x14ac:dyDescent="0.25">
      <c r="T230" s="8"/>
    </row>
    <row r="231" spans="20:20" x14ac:dyDescent="0.25">
      <c r="T231" s="8"/>
    </row>
    <row r="232" spans="20:20" x14ac:dyDescent="0.25">
      <c r="T232" s="8"/>
    </row>
    <row r="233" spans="20:20" x14ac:dyDescent="0.25">
      <c r="T233" s="8"/>
    </row>
    <row r="234" spans="20:20" x14ac:dyDescent="0.25">
      <c r="T234" s="8"/>
    </row>
    <row r="235" spans="20:20" x14ac:dyDescent="0.25">
      <c r="T235" s="8"/>
    </row>
    <row r="236" spans="20:20" x14ac:dyDescent="0.25">
      <c r="T236" s="8"/>
    </row>
    <row r="237" spans="20:20" x14ac:dyDescent="0.25">
      <c r="T237" s="8"/>
    </row>
    <row r="238" spans="20:20" x14ac:dyDescent="0.25">
      <c r="T238" s="8"/>
    </row>
    <row r="239" spans="20:20" x14ac:dyDescent="0.25">
      <c r="T239" s="8"/>
    </row>
    <row r="240" spans="20:20" x14ac:dyDescent="0.25">
      <c r="T240" s="8"/>
    </row>
    <row r="241" spans="20:20" x14ac:dyDescent="0.25">
      <c r="T241" s="8"/>
    </row>
    <row r="242" spans="20:20" x14ac:dyDescent="0.25">
      <c r="T242" s="8"/>
    </row>
    <row r="243" spans="20:20" x14ac:dyDescent="0.25">
      <c r="T243" s="8"/>
    </row>
    <row r="244" spans="20:20" x14ac:dyDescent="0.25">
      <c r="T244" s="8"/>
    </row>
    <row r="245" spans="20:20" x14ac:dyDescent="0.25">
      <c r="T245" s="8"/>
    </row>
    <row r="246" spans="20:20" x14ac:dyDescent="0.25">
      <c r="T246" s="8"/>
    </row>
    <row r="247" spans="20:20" x14ac:dyDescent="0.25">
      <c r="T247" s="8"/>
    </row>
    <row r="248" spans="20:20" x14ac:dyDescent="0.25">
      <c r="T248" s="8"/>
    </row>
    <row r="249" spans="20:20" x14ac:dyDescent="0.25">
      <c r="T249" s="8"/>
    </row>
    <row r="250" spans="20:20" x14ac:dyDescent="0.25">
      <c r="T250" s="8"/>
    </row>
    <row r="251" spans="20:20" x14ac:dyDescent="0.25">
      <c r="T251" s="8"/>
    </row>
    <row r="252" spans="20:20" x14ac:dyDescent="0.25">
      <c r="T252" s="8"/>
    </row>
    <row r="253" spans="20:20" x14ac:dyDescent="0.25">
      <c r="T253" s="8"/>
    </row>
    <row r="254" spans="20:20" x14ac:dyDescent="0.25">
      <c r="T254" s="8"/>
    </row>
    <row r="255" spans="20:20" x14ac:dyDescent="0.25">
      <c r="T255" s="8"/>
    </row>
    <row r="256" spans="20:20" x14ac:dyDescent="0.25">
      <c r="T256" s="8"/>
    </row>
    <row r="257" spans="20:20" x14ac:dyDescent="0.25">
      <c r="T257" s="8"/>
    </row>
    <row r="258" spans="20:20" x14ac:dyDescent="0.25">
      <c r="T258" s="8"/>
    </row>
    <row r="259" spans="20:20" x14ac:dyDescent="0.25">
      <c r="T259" s="8"/>
    </row>
    <row r="260" spans="20:20" x14ac:dyDescent="0.25">
      <c r="T260" s="8"/>
    </row>
    <row r="261" spans="20:20" x14ac:dyDescent="0.25">
      <c r="T261" s="8"/>
    </row>
    <row r="262" spans="20:20" x14ac:dyDescent="0.25">
      <c r="T262" s="8"/>
    </row>
    <row r="263" spans="20:20" x14ac:dyDescent="0.25">
      <c r="T263" s="8"/>
    </row>
    <row r="264" spans="20:20" x14ac:dyDescent="0.25">
      <c r="T264" s="8"/>
    </row>
    <row r="265" spans="20:20" x14ac:dyDescent="0.25">
      <c r="T265" s="8"/>
    </row>
    <row r="266" spans="20:20" x14ac:dyDescent="0.25">
      <c r="T266" s="8"/>
    </row>
    <row r="267" spans="20:20" x14ac:dyDescent="0.25">
      <c r="T267" s="8"/>
    </row>
    <row r="268" spans="20:20" x14ac:dyDescent="0.25">
      <c r="T268" s="8"/>
    </row>
    <row r="269" spans="20:20" x14ac:dyDescent="0.25">
      <c r="T269" s="8"/>
    </row>
    <row r="270" spans="20:20" x14ac:dyDescent="0.25">
      <c r="T270" s="8"/>
    </row>
    <row r="271" spans="20:20" x14ac:dyDescent="0.25">
      <c r="T271" s="8"/>
    </row>
    <row r="272" spans="20:20" x14ac:dyDescent="0.25">
      <c r="T272" s="8"/>
    </row>
    <row r="273" spans="20:20" x14ac:dyDescent="0.25">
      <c r="T273" s="8"/>
    </row>
    <row r="274" spans="20:20" x14ac:dyDescent="0.25">
      <c r="T274" s="8"/>
    </row>
    <row r="275" spans="20:20" x14ac:dyDescent="0.25">
      <c r="T275" s="8"/>
    </row>
    <row r="276" spans="20:20" x14ac:dyDescent="0.25">
      <c r="T276" s="8"/>
    </row>
    <row r="277" spans="20:20" x14ac:dyDescent="0.25">
      <c r="T277" s="8"/>
    </row>
    <row r="278" spans="20:20" x14ac:dyDescent="0.25">
      <c r="T278" s="8"/>
    </row>
    <row r="279" spans="20:20" x14ac:dyDescent="0.25">
      <c r="T279" s="8"/>
    </row>
    <row r="280" spans="20:20" x14ac:dyDescent="0.25">
      <c r="T280" s="8"/>
    </row>
    <row r="281" spans="20:20" x14ac:dyDescent="0.25">
      <c r="T281" s="8"/>
    </row>
    <row r="282" spans="20:20" x14ac:dyDescent="0.25">
      <c r="T282" s="8"/>
    </row>
    <row r="283" spans="20:20" x14ac:dyDescent="0.25">
      <c r="T283" s="8"/>
    </row>
    <row r="284" spans="20:20" x14ac:dyDescent="0.25">
      <c r="T284" s="8"/>
    </row>
    <row r="285" spans="20:20" x14ac:dyDescent="0.25">
      <c r="T285" s="8"/>
    </row>
    <row r="286" spans="20:20" x14ac:dyDescent="0.25">
      <c r="T286" s="8"/>
    </row>
    <row r="287" spans="20:20" x14ac:dyDescent="0.25">
      <c r="T287" s="8"/>
    </row>
    <row r="288" spans="20:20" x14ac:dyDescent="0.25">
      <c r="T288" s="8"/>
    </row>
    <row r="289" spans="20:20" x14ac:dyDescent="0.25">
      <c r="T289" s="8"/>
    </row>
    <row r="290" spans="20:20" x14ac:dyDescent="0.25">
      <c r="T290" s="8"/>
    </row>
    <row r="291" spans="20:20" x14ac:dyDescent="0.25">
      <c r="T291" s="8"/>
    </row>
    <row r="292" spans="20:20" x14ac:dyDescent="0.25">
      <c r="T292" s="8"/>
    </row>
    <row r="293" spans="20:20" x14ac:dyDescent="0.25">
      <c r="T293" s="8"/>
    </row>
    <row r="294" spans="20:20" x14ac:dyDescent="0.25">
      <c r="T294" s="8"/>
    </row>
    <row r="295" spans="20:20" x14ac:dyDescent="0.25">
      <c r="T295" s="8"/>
    </row>
    <row r="296" spans="20:20" x14ac:dyDescent="0.25">
      <c r="T296" s="8"/>
    </row>
    <row r="297" spans="20:20" x14ac:dyDescent="0.25">
      <c r="T297" s="8"/>
    </row>
    <row r="298" spans="20:20" x14ac:dyDescent="0.25">
      <c r="T298" s="8"/>
    </row>
    <row r="299" spans="20:20" x14ac:dyDescent="0.25">
      <c r="T299" s="8"/>
    </row>
    <row r="300" spans="20:20" x14ac:dyDescent="0.25">
      <c r="T300" s="8"/>
    </row>
    <row r="301" spans="20:20" x14ac:dyDescent="0.25">
      <c r="T301" s="8"/>
    </row>
    <row r="302" spans="20:20" x14ac:dyDescent="0.25">
      <c r="T302" s="8"/>
    </row>
    <row r="303" spans="20:20" x14ac:dyDescent="0.25">
      <c r="T303" s="8"/>
    </row>
    <row r="304" spans="20:20" x14ac:dyDescent="0.25">
      <c r="T304" s="8"/>
    </row>
    <row r="305" spans="20:20" x14ac:dyDescent="0.25">
      <c r="T305" s="8"/>
    </row>
    <row r="306" spans="20:20" x14ac:dyDescent="0.25">
      <c r="T306" s="8"/>
    </row>
    <row r="307" spans="20:20" x14ac:dyDescent="0.25">
      <c r="T307" s="8"/>
    </row>
    <row r="308" spans="20:20" x14ac:dyDescent="0.25">
      <c r="T308" s="8"/>
    </row>
    <row r="309" spans="20:20" x14ac:dyDescent="0.25">
      <c r="T309" s="8"/>
    </row>
    <row r="310" spans="20:20" x14ac:dyDescent="0.25">
      <c r="T310" s="8"/>
    </row>
    <row r="311" spans="20:20" x14ac:dyDescent="0.25">
      <c r="T311" s="8"/>
    </row>
    <row r="312" spans="20:20" x14ac:dyDescent="0.25">
      <c r="T312" s="8"/>
    </row>
    <row r="313" spans="20:20" x14ac:dyDescent="0.25">
      <c r="T313" s="8"/>
    </row>
    <row r="314" spans="20:20" x14ac:dyDescent="0.25">
      <c r="T314" s="8"/>
    </row>
    <row r="315" spans="20:20" x14ac:dyDescent="0.25">
      <c r="T315" s="8"/>
    </row>
    <row r="316" spans="20:20" x14ac:dyDescent="0.25">
      <c r="T316" s="8"/>
    </row>
    <row r="317" spans="20:20" x14ac:dyDescent="0.25">
      <c r="T317" s="8"/>
    </row>
    <row r="318" spans="20:20" x14ac:dyDescent="0.25">
      <c r="T318" s="8"/>
    </row>
    <row r="319" spans="20:20" x14ac:dyDescent="0.25">
      <c r="T319" s="8"/>
    </row>
    <row r="320" spans="20:20" x14ac:dyDescent="0.25">
      <c r="T320" s="8"/>
    </row>
    <row r="321" spans="20:20" x14ac:dyDescent="0.25">
      <c r="T321" s="8"/>
    </row>
    <row r="322" spans="20:20" x14ac:dyDescent="0.25">
      <c r="T322" s="8"/>
    </row>
    <row r="323" spans="20:20" x14ac:dyDescent="0.25">
      <c r="T323" s="8"/>
    </row>
    <row r="324" spans="20:20" x14ac:dyDescent="0.25">
      <c r="T324" s="8"/>
    </row>
    <row r="325" spans="20:20" x14ac:dyDescent="0.25">
      <c r="T325" s="8"/>
    </row>
    <row r="326" spans="20:20" x14ac:dyDescent="0.25">
      <c r="T326" s="8"/>
    </row>
    <row r="327" spans="20:20" x14ac:dyDescent="0.25">
      <c r="T327" s="8"/>
    </row>
    <row r="328" spans="20:20" x14ac:dyDescent="0.25">
      <c r="T328" s="8"/>
    </row>
    <row r="329" spans="20:20" x14ac:dyDescent="0.25">
      <c r="T329" s="8"/>
    </row>
    <row r="330" spans="20:20" x14ac:dyDescent="0.25">
      <c r="T330" s="8"/>
    </row>
    <row r="331" spans="20:20" x14ac:dyDescent="0.25">
      <c r="T331" s="8"/>
    </row>
    <row r="332" spans="20:20" x14ac:dyDescent="0.25">
      <c r="T332" s="8"/>
    </row>
    <row r="333" spans="20:20" x14ac:dyDescent="0.25">
      <c r="T333" s="8"/>
    </row>
    <row r="334" spans="20:20" x14ac:dyDescent="0.25">
      <c r="T334" s="8"/>
    </row>
    <row r="335" spans="20:20" x14ac:dyDescent="0.25">
      <c r="T335" s="8"/>
    </row>
    <row r="336" spans="20:20" x14ac:dyDescent="0.25">
      <c r="T336" s="8"/>
    </row>
    <row r="337" spans="20:20" x14ac:dyDescent="0.25">
      <c r="T337" s="8"/>
    </row>
    <row r="338" spans="20:20" x14ac:dyDescent="0.25">
      <c r="T338" s="8"/>
    </row>
    <row r="339" spans="20:20" x14ac:dyDescent="0.25">
      <c r="T339" s="8"/>
    </row>
    <row r="340" spans="20:20" x14ac:dyDescent="0.25">
      <c r="T340" s="8"/>
    </row>
    <row r="341" spans="20:20" x14ac:dyDescent="0.25">
      <c r="T341" s="8"/>
    </row>
    <row r="342" spans="20:20" x14ac:dyDescent="0.25">
      <c r="T342" s="8"/>
    </row>
    <row r="343" spans="20:20" x14ac:dyDescent="0.25">
      <c r="T343" s="8"/>
    </row>
    <row r="344" spans="20:20" x14ac:dyDescent="0.25">
      <c r="T344" s="8"/>
    </row>
    <row r="345" spans="20:20" x14ac:dyDescent="0.25">
      <c r="T345" s="8"/>
    </row>
    <row r="346" spans="20:20" x14ac:dyDescent="0.25">
      <c r="T346" s="8"/>
    </row>
    <row r="347" spans="20:20" x14ac:dyDescent="0.25">
      <c r="T347" s="8"/>
    </row>
    <row r="348" spans="20:20" x14ac:dyDescent="0.25">
      <c r="T348" s="8"/>
    </row>
    <row r="349" spans="20:20" x14ac:dyDescent="0.25">
      <c r="T349" s="8"/>
    </row>
    <row r="350" spans="20:20" x14ac:dyDescent="0.25">
      <c r="T350" s="8"/>
    </row>
    <row r="351" spans="20:20" x14ac:dyDescent="0.25">
      <c r="T351" s="8"/>
    </row>
    <row r="352" spans="20:20" x14ac:dyDescent="0.25">
      <c r="T352" s="8"/>
    </row>
    <row r="353" spans="20:20" x14ac:dyDescent="0.25">
      <c r="T353" s="8"/>
    </row>
    <row r="354" spans="20:20" x14ac:dyDescent="0.25">
      <c r="T354" s="8"/>
    </row>
    <row r="355" spans="20:20" x14ac:dyDescent="0.25">
      <c r="T355" s="8"/>
    </row>
    <row r="356" spans="20:20" x14ac:dyDescent="0.25">
      <c r="T356" s="8"/>
    </row>
    <row r="357" spans="20:20" x14ac:dyDescent="0.25">
      <c r="T357" s="8"/>
    </row>
    <row r="358" spans="20:20" x14ac:dyDescent="0.25">
      <c r="T358" s="8"/>
    </row>
    <row r="359" spans="20:20" x14ac:dyDescent="0.25">
      <c r="T359" s="8"/>
    </row>
    <row r="360" spans="20:20" x14ac:dyDescent="0.25">
      <c r="T360" s="8"/>
    </row>
    <row r="361" spans="20:20" x14ac:dyDescent="0.25">
      <c r="T361" s="8"/>
    </row>
    <row r="362" spans="20:20" x14ac:dyDescent="0.25">
      <c r="T362" s="8"/>
    </row>
    <row r="363" spans="20:20" x14ac:dyDescent="0.25">
      <c r="T363" s="8"/>
    </row>
    <row r="364" spans="20:20" x14ac:dyDescent="0.25">
      <c r="T364" s="8"/>
    </row>
    <row r="365" spans="20:20" x14ac:dyDescent="0.25">
      <c r="T365" s="8"/>
    </row>
    <row r="366" spans="20:20" x14ac:dyDescent="0.25">
      <c r="T366" s="8"/>
    </row>
    <row r="367" spans="20:20" x14ac:dyDescent="0.25">
      <c r="T367" s="8"/>
    </row>
    <row r="368" spans="20:20" x14ac:dyDescent="0.25">
      <c r="T368" s="8"/>
    </row>
    <row r="369" spans="20:20" x14ac:dyDescent="0.25">
      <c r="T369" s="8"/>
    </row>
    <row r="370" spans="20:20" x14ac:dyDescent="0.25">
      <c r="T370" s="8"/>
    </row>
    <row r="371" spans="20:20" x14ac:dyDescent="0.25">
      <c r="T371" s="8"/>
    </row>
    <row r="372" spans="20:20" x14ac:dyDescent="0.25">
      <c r="T372" s="8"/>
    </row>
    <row r="373" spans="20:20" x14ac:dyDescent="0.25">
      <c r="T373" s="8"/>
    </row>
    <row r="374" spans="20:20" x14ac:dyDescent="0.25">
      <c r="T374" s="8"/>
    </row>
    <row r="375" spans="20:20" x14ac:dyDescent="0.25">
      <c r="T375" s="8"/>
    </row>
    <row r="376" spans="20:20" x14ac:dyDescent="0.25">
      <c r="T376" s="8"/>
    </row>
    <row r="377" spans="20:20" x14ac:dyDescent="0.25">
      <c r="T377" s="8"/>
    </row>
    <row r="378" spans="20:20" x14ac:dyDescent="0.25">
      <c r="T378" s="8"/>
    </row>
    <row r="379" spans="20:20" x14ac:dyDescent="0.25">
      <c r="T379" s="8"/>
    </row>
    <row r="380" spans="20:20" x14ac:dyDescent="0.25">
      <c r="T380" s="8"/>
    </row>
    <row r="381" spans="20:20" x14ac:dyDescent="0.25">
      <c r="T381" s="8"/>
    </row>
    <row r="382" spans="20:20" x14ac:dyDescent="0.25">
      <c r="T382" s="8"/>
    </row>
    <row r="383" spans="20:20" x14ac:dyDescent="0.25">
      <c r="T383" s="8"/>
    </row>
    <row r="384" spans="20:20" x14ac:dyDescent="0.25">
      <c r="T384" s="8"/>
    </row>
    <row r="385" spans="20:20" x14ac:dyDescent="0.25">
      <c r="T385" s="8"/>
    </row>
    <row r="386" spans="20:20" x14ac:dyDescent="0.25">
      <c r="T386" s="8"/>
    </row>
    <row r="387" spans="20:20" x14ac:dyDescent="0.25">
      <c r="T387" s="8"/>
    </row>
    <row r="388" spans="20:20" x14ac:dyDescent="0.25">
      <c r="T388" s="8"/>
    </row>
    <row r="389" spans="20:20" x14ac:dyDescent="0.25">
      <c r="T389" s="8"/>
    </row>
    <row r="390" spans="20:20" x14ac:dyDescent="0.25">
      <c r="T390" s="8"/>
    </row>
    <row r="391" spans="20:20" x14ac:dyDescent="0.25">
      <c r="T391" s="8"/>
    </row>
    <row r="392" spans="20:20" x14ac:dyDescent="0.25">
      <c r="T392" s="8"/>
    </row>
    <row r="393" spans="20:20" x14ac:dyDescent="0.25">
      <c r="T393" s="8"/>
    </row>
    <row r="394" spans="20:20" x14ac:dyDescent="0.25">
      <c r="T394" s="8"/>
    </row>
    <row r="395" spans="20:20" x14ac:dyDescent="0.25">
      <c r="T395" s="8"/>
    </row>
    <row r="396" spans="20:20" x14ac:dyDescent="0.25">
      <c r="T396" s="8"/>
    </row>
    <row r="397" spans="20:20" x14ac:dyDescent="0.25">
      <c r="T397" s="8"/>
    </row>
    <row r="398" spans="20:20" x14ac:dyDescent="0.25">
      <c r="T398" s="8"/>
    </row>
    <row r="399" spans="20:20" x14ac:dyDescent="0.25">
      <c r="T399" s="8"/>
    </row>
    <row r="400" spans="20:20" x14ac:dyDescent="0.25">
      <c r="T400" s="8"/>
    </row>
    <row r="401" spans="20:20" x14ac:dyDescent="0.25">
      <c r="T401" s="8"/>
    </row>
    <row r="402" spans="20:20" x14ac:dyDescent="0.25">
      <c r="T402" s="8"/>
    </row>
    <row r="403" spans="20:20" x14ac:dyDescent="0.25">
      <c r="T403" s="8"/>
    </row>
    <row r="404" spans="20:20" x14ac:dyDescent="0.25">
      <c r="T404" s="8"/>
    </row>
    <row r="405" spans="20:20" x14ac:dyDescent="0.25">
      <c r="T405" s="8"/>
    </row>
    <row r="406" spans="20:20" x14ac:dyDescent="0.25">
      <c r="T406" s="8"/>
    </row>
    <row r="407" spans="20:20" x14ac:dyDescent="0.25">
      <c r="T407" s="8"/>
    </row>
    <row r="408" spans="20:20" x14ac:dyDescent="0.25">
      <c r="T408" s="8"/>
    </row>
    <row r="409" spans="20:20" x14ac:dyDescent="0.25">
      <c r="T409" s="8"/>
    </row>
    <row r="410" spans="20:20" x14ac:dyDescent="0.25">
      <c r="T410" s="8"/>
    </row>
    <row r="411" spans="20:20" x14ac:dyDescent="0.25">
      <c r="T411" s="8"/>
    </row>
    <row r="412" spans="20:20" x14ac:dyDescent="0.25">
      <c r="T412" s="8"/>
    </row>
    <row r="413" spans="20:20" x14ac:dyDescent="0.25">
      <c r="T413" s="8"/>
    </row>
    <row r="414" spans="20:20" x14ac:dyDescent="0.25">
      <c r="T414" s="8"/>
    </row>
    <row r="415" spans="20:20" x14ac:dyDescent="0.25">
      <c r="T415" s="8"/>
    </row>
    <row r="416" spans="20:20" x14ac:dyDescent="0.25">
      <c r="T416" s="8"/>
    </row>
    <row r="417" spans="20:20" x14ac:dyDescent="0.25">
      <c r="T417" s="8"/>
    </row>
    <row r="418" spans="20:20" x14ac:dyDescent="0.25">
      <c r="T418" s="8"/>
    </row>
    <row r="419" spans="20:20" x14ac:dyDescent="0.25">
      <c r="T419" s="8"/>
    </row>
    <row r="420" spans="20:20" x14ac:dyDescent="0.25">
      <c r="T420" s="8"/>
    </row>
    <row r="421" spans="20:20" x14ac:dyDescent="0.25">
      <c r="T421" s="8"/>
    </row>
    <row r="422" spans="20:20" x14ac:dyDescent="0.25">
      <c r="T422" s="8"/>
    </row>
    <row r="423" spans="20:20" x14ac:dyDescent="0.25">
      <c r="T423" s="8"/>
    </row>
    <row r="424" spans="20:20" x14ac:dyDescent="0.25">
      <c r="T424" s="8"/>
    </row>
    <row r="425" spans="20:20" x14ac:dyDescent="0.25">
      <c r="T425" s="8"/>
    </row>
    <row r="426" spans="20:20" x14ac:dyDescent="0.25">
      <c r="T426" s="8"/>
    </row>
    <row r="427" spans="20:20" x14ac:dyDescent="0.25">
      <c r="T427" s="8"/>
    </row>
    <row r="428" spans="20:20" x14ac:dyDescent="0.25">
      <c r="T428" s="8"/>
    </row>
    <row r="429" spans="20:20" x14ac:dyDescent="0.25">
      <c r="T429" s="8"/>
    </row>
    <row r="430" spans="20:20" x14ac:dyDescent="0.25">
      <c r="T430" s="8"/>
    </row>
    <row r="431" spans="20:20" x14ac:dyDescent="0.25">
      <c r="T431" s="8"/>
    </row>
    <row r="432" spans="20:20" x14ac:dyDescent="0.25">
      <c r="T432" s="8"/>
    </row>
    <row r="433" spans="20:20" x14ac:dyDescent="0.25">
      <c r="T433" s="8"/>
    </row>
    <row r="434" spans="20:20" x14ac:dyDescent="0.25">
      <c r="T434" s="8"/>
    </row>
    <row r="435" spans="20:20" x14ac:dyDescent="0.25">
      <c r="T435" s="8"/>
    </row>
    <row r="436" spans="20:20" x14ac:dyDescent="0.25">
      <c r="T436" s="8"/>
    </row>
    <row r="437" spans="20:20" x14ac:dyDescent="0.25">
      <c r="T437" s="8"/>
    </row>
    <row r="438" spans="20:20" x14ac:dyDescent="0.25">
      <c r="T438" s="8"/>
    </row>
    <row r="439" spans="20:20" x14ac:dyDescent="0.25">
      <c r="T439" s="8"/>
    </row>
    <row r="440" spans="20:20" x14ac:dyDescent="0.25">
      <c r="T440" s="8"/>
    </row>
    <row r="441" spans="20:20" x14ac:dyDescent="0.25">
      <c r="T441" s="8"/>
    </row>
    <row r="442" spans="20:20" x14ac:dyDescent="0.25">
      <c r="T442" s="8"/>
    </row>
    <row r="443" spans="20:20" x14ac:dyDescent="0.25">
      <c r="T443" s="8"/>
    </row>
    <row r="444" spans="20:20" x14ac:dyDescent="0.25">
      <c r="T444" s="8"/>
    </row>
    <row r="445" spans="20:20" x14ac:dyDescent="0.25">
      <c r="T445" s="8"/>
    </row>
    <row r="446" spans="20:20" x14ac:dyDescent="0.25">
      <c r="T446" s="8"/>
    </row>
    <row r="447" spans="20:20" x14ac:dyDescent="0.25">
      <c r="T447" s="8"/>
    </row>
    <row r="448" spans="20:20" x14ac:dyDescent="0.25">
      <c r="T448" s="8"/>
    </row>
    <row r="449" spans="20:20" x14ac:dyDescent="0.25">
      <c r="T449" s="8"/>
    </row>
    <row r="450" spans="20:20" x14ac:dyDescent="0.25">
      <c r="T450" s="8"/>
    </row>
    <row r="451" spans="20:20" x14ac:dyDescent="0.25">
      <c r="T451" s="8"/>
    </row>
    <row r="452" spans="20:20" x14ac:dyDescent="0.25">
      <c r="T452" s="8"/>
    </row>
    <row r="453" spans="20:20" x14ac:dyDescent="0.25">
      <c r="T453" s="8"/>
    </row>
    <row r="454" spans="20:20" x14ac:dyDescent="0.25">
      <c r="T454" s="8"/>
    </row>
    <row r="455" spans="20:20" x14ac:dyDescent="0.25">
      <c r="T455" s="8"/>
    </row>
    <row r="456" spans="20:20" x14ac:dyDescent="0.25">
      <c r="T456" s="8"/>
    </row>
    <row r="457" spans="20:20" x14ac:dyDescent="0.25">
      <c r="T457" s="8"/>
    </row>
    <row r="458" spans="20:20" x14ac:dyDescent="0.25">
      <c r="T458" s="8"/>
    </row>
    <row r="459" spans="20:20" x14ac:dyDescent="0.25">
      <c r="T459" s="8"/>
    </row>
    <row r="460" spans="20:20" x14ac:dyDescent="0.25">
      <c r="T460" s="8"/>
    </row>
    <row r="461" spans="20:20" x14ac:dyDescent="0.25">
      <c r="T461" s="8"/>
    </row>
    <row r="462" spans="20:20" x14ac:dyDescent="0.25">
      <c r="T462" s="8"/>
    </row>
    <row r="463" spans="20:20" x14ac:dyDescent="0.25">
      <c r="T463" s="8"/>
    </row>
    <row r="464" spans="20:20" x14ac:dyDescent="0.25">
      <c r="T464" s="8"/>
    </row>
    <row r="465" spans="20:20" x14ac:dyDescent="0.25">
      <c r="T465" s="8"/>
    </row>
    <row r="466" spans="20:20" x14ac:dyDescent="0.25">
      <c r="T466" s="8"/>
    </row>
    <row r="467" spans="20:20" x14ac:dyDescent="0.25">
      <c r="T467" s="8"/>
    </row>
    <row r="468" spans="20:20" x14ac:dyDescent="0.25">
      <c r="T468" s="8"/>
    </row>
    <row r="469" spans="20:20" x14ac:dyDescent="0.25">
      <c r="T469" s="8"/>
    </row>
    <row r="470" spans="20:20" x14ac:dyDescent="0.25">
      <c r="T470" s="8"/>
    </row>
    <row r="471" spans="20:20" x14ac:dyDescent="0.25">
      <c r="T471" s="8"/>
    </row>
    <row r="472" spans="20:20" x14ac:dyDescent="0.25">
      <c r="T472" s="8"/>
    </row>
    <row r="473" spans="20:20" x14ac:dyDescent="0.25">
      <c r="T473" s="8"/>
    </row>
    <row r="474" spans="20:20" x14ac:dyDescent="0.25">
      <c r="T474" s="8"/>
    </row>
    <row r="475" spans="20:20" x14ac:dyDescent="0.25">
      <c r="T475" s="8"/>
    </row>
    <row r="476" spans="20:20" x14ac:dyDescent="0.25">
      <c r="T476" s="8"/>
    </row>
    <row r="477" spans="20:20" x14ac:dyDescent="0.25">
      <c r="T477" s="8"/>
    </row>
    <row r="478" spans="20:20" x14ac:dyDescent="0.25">
      <c r="T478" s="8"/>
    </row>
    <row r="479" spans="20:20" x14ac:dyDescent="0.25">
      <c r="T479" s="8"/>
    </row>
    <row r="480" spans="20:20" x14ac:dyDescent="0.25">
      <c r="T480" s="8"/>
    </row>
    <row r="481" spans="20:20" x14ac:dyDescent="0.25">
      <c r="T481" s="8"/>
    </row>
    <row r="482" spans="20:20" x14ac:dyDescent="0.25">
      <c r="T482" s="8"/>
    </row>
    <row r="483" spans="20:20" x14ac:dyDescent="0.25">
      <c r="T483" s="8"/>
    </row>
    <row r="484" spans="20:20" x14ac:dyDescent="0.25">
      <c r="T484" s="8"/>
    </row>
    <row r="485" spans="20:20" x14ac:dyDescent="0.25">
      <c r="T485" s="8"/>
    </row>
    <row r="486" spans="20:20" x14ac:dyDescent="0.25">
      <c r="T486" s="8"/>
    </row>
    <row r="487" spans="20:20" x14ac:dyDescent="0.25">
      <c r="T487" s="8"/>
    </row>
    <row r="488" spans="20:20" x14ac:dyDescent="0.25">
      <c r="T488" s="8"/>
    </row>
    <row r="489" spans="20:20" x14ac:dyDescent="0.25">
      <c r="T489" s="8"/>
    </row>
    <row r="490" spans="20:20" x14ac:dyDescent="0.25">
      <c r="T490" s="8"/>
    </row>
    <row r="491" spans="20:20" x14ac:dyDescent="0.25">
      <c r="T491" s="8"/>
    </row>
    <row r="492" spans="20:20" x14ac:dyDescent="0.25">
      <c r="T492" s="8"/>
    </row>
    <row r="493" spans="20:20" x14ac:dyDescent="0.25">
      <c r="T493" s="8"/>
    </row>
    <row r="494" spans="20:20" x14ac:dyDescent="0.25">
      <c r="T494" s="8"/>
    </row>
    <row r="495" spans="20:20" x14ac:dyDescent="0.25">
      <c r="T495" s="8"/>
    </row>
    <row r="496" spans="20:20" x14ac:dyDescent="0.25">
      <c r="T496" s="8"/>
    </row>
    <row r="497" spans="20:20" x14ac:dyDescent="0.25">
      <c r="T497" s="8"/>
    </row>
    <row r="498" spans="20:20" x14ac:dyDescent="0.25">
      <c r="T498" s="8"/>
    </row>
    <row r="499" spans="20:20" x14ac:dyDescent="0.25">
      <c r="T499" s="8"/>
    </row>
    <row r="500" spans="20:20" x14ac:dyDescent="0.25">
      <c r="T500" s="8"/>
    </row>
    <row r="501" spans="20:20" x14ac:dyDescent="0.25">
      <c r="T501" s="8"/>
    </row>
    <row r="502" spans="20:20" x14ac:dyDescent="0.25">
      <c r="T502" s="8"/>
    </row>
    <row r="503" spans="20:20" x14ac:dyDescent="0.25">
      <c r="T503" s="8"/>
    </row>
    <row r="504" spans="20:20" x14ac:dyDescent="0.25">
      <c r="T504" s="8"/>
    </row>
    <row r="505" spans="20:20" x14ac:dyDescent="0.25">
      <c r="T505" s="8"/>
    </row>
    <row r="506" spans="20:20" x14ac:dyDescent="0.25">
      <c r="T506" s="8"/>
    </row>
    <row r="507" spans="20:20" x14ac:dyDescent="0.25">
      <c r="T507" s="8"/>
    </row>
    <row r="508" spans="20:20" x14ac:dyDescent="0.25">
      <c r="T508" s="8"/>
    </row>
    <row r="509" spans="20:20" x14ac:dyDescent="0.25">
      <c r="T509" s="8"/>
    </row>
    <row r="510" spans="20:20" x14ac:dyDescent="0.25">
      <c r="T510" s="8"/>
    </row>
    <row r="511" spans="20:20" x14ac:dyDescent="0.25">
      <c r="T511" s="8"/>
    </row>
    <row r="512" spans="20:20" x14ac:dyDescent="0.25">
      <c r="T512" s="8"/>
    </row>
    <row r="513" spans="20:20" x14ac:dyDescent="0.25">
      <c r="T513" s="8"/>
    </row>
    <row r="514" spans="20:20" x14ac:dyDescent="0.25">
      <c r="T514" s="8"/>
    </row>
    <row r="515" spans="20:20" x14ac:dyDescent="0.25">
      <c r="T515" s="8"/>
    </row>
    <row r="516" spans="20:20" x14ac:dyDescent="0.25">
      <c r="T516" s="8"/>
    </row>
    <row r="517" spans="20:20" x14ac:dyDescent="0.25">
      <c r="T517" s="8"/>
    </row>
    <row r="518" spans="20:20" x14ac:dyDescent="0.25">
      <c r="T518" s="8"/>
    </row>
    <row r="519" spans="20:20" x14ac:dyDescent="0.25">
      <c r="T519" s="8"/>
    </row>
    <row r="520" spans="20:20" x14ac:dyDescent="0.25">
      <c r="T520" s="8"/>
    </row>
    <row r="521" spans="20:20" x14ac:dyDescent="0.25">
      <c r="T521" s="8"/>
    </row>
    <row r="522" spans="20:20" x14ac:dyDescent="0.25">
      <c r="T522" s="8"/>
    </row>
    <row r="523" spans="20:20" x14ac:dyDescent="0.25">
      <c r="T523" s="8"/>
    </row>
  </sheetData>
  <pageMargins left="0.7" right="0.7" top="0.75" bottom="0.75" header="0.3" footer="0.3"/>
  <pageSetup paperSize="9" scale="2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314325</xdr:colOff>
                    <xdr:row>25</xdr:row>
                    <xdr:rowOff>85725</xdr:rowOff>
                  </from>
                  <to>
                    <xdr:col>9</xdr:col>
                    <xdr:colOff>514350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209550</xdr:colOff>
                    <xdr:row>25</xdr:row>
                    <xdr:rowOff>47625</xdr:rowOff>
                  </from>
                  <to>
                    <xdr:col>16</xdr:col>
                    <xdr:colOff>76200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utton4_Click">
                <anchor moveWithCells="1" sizeWithCells="1">
                  <from>
                    <xdr:col>12</xdr:col>
                    <xdr:colOff>590550</xdr:colOff>
                    <xdr:row>33</xdr:row>
                    <xdr:rowOff>0</xdr:rowOff>
                  </from>
                  <to>
                    <xdr:col>15</xdr:col>
                    <xdr:colOff>600075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581025</xdr:colOff>
                    <xdr:row>34</xdr:row>
                    <xdr:rowOff>200025</xdr:rowOff>
                  </from>
                  <to>
                    <xdr:col>15</xdr:col>
                    <xdr:colOff>600075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Button6_Click">
                <anchor moveWithCells="1" sizeWithCells="1">
                  <from>
                    <xdr:col>12</xdr:col>
                    <xdr:colOff>581025</xdr:colOff>
                    <xdr:row>36</xdr:row>
                    <xdr:rowOff>152400</xdr:rowOff>
                  </from>
                  <to>
                    <xdr:col>15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utton7_Click">
                <anchor moveWithCells="1" sizeWithCells="1">
                  <from>
                    <xdr:col>12</xdr:col>
                    <xdr:colOff>581025</xdr:colOff>
                    <xdr:row>38</xdr:row>
                    <xdr:rowOff>123825</xdr:rowOff>
                  </from>
                  <to>
                    <xdr:col>15</xdr:col>
                    <xdr:colOff>590550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38"/>
  <sheetViews>
    <sheetView zoomScale="70" zoomScaleNormal="70" workbookViewId="0">
      <selection activeCell="G30" sqref="G30"/>
    </sheetView>
  </sheetViews>
  <sheetFormatPr defaultRowHeight="15.75" x14ac:dyDescent="0.25"/>
  <cols>
    <col min="5" max="5" width="2" bestFit="1" customWidth="1"/>
    <col min="7" max="7" width="9.5" bestFit="1" customWidth="1"/>
    <col min="8" max="8" width="12.25" bestFit="1" customWidth="1"/>
    <col min="9" max="9" width="2.5" bestFit="1" customWidth="1"/>
    <col min="10" max="10" width="9.5" bestFit="1" customWidth="1"/>
    <col min="11" max="11" width="12.25" bestFit="1" customWidth="1"/>
    <col min="12" max="12" width="3" bestFit="1" customWidth="1"/>
    <col min="13" max="13" width="9.5" bestFit="1" customWidth="1"/>
    <col min="14" max="14" width="12.5" bestFit="1" customWidth="1"/>
    <col min="15" max="15" width="3" bestFit="1" customWidth="1"/>
    <col min="16" max="16" width="9.5" bestFit="1" customWidth="1"/>
    <col min="17" max="17" width="12.5" bestFit="1" customWidth="1"/>
    <col min="18" max="18" width="3" bestFit="1" customWidth="1"/>
    <col min="19" max="19" width="9.5" bestFit="1" customWidth="1"/>
    <col min="20" max="20" width="12.5" bestFit="1" customWidth="1"/>
    <col min="21" max="21" width="3" bestFit="1" customWidth="1"/>
    <col min="22" max="22" width="9.5" bestFit="1" customWidth="1"/>
    <col min="23" max="23" width="12.5" bestFit="1" customWidth="1"/>
    <col min="24" max="24" width="3" bestFit="1" customWidth="1"/>
    <col min="25" max="25" width="9.5" bestFit="1" customWidth="1"/>
    <col min="26" max="26" width="12.5" bestFit="1" customWidth="1"/>
    <col min="27" max="27" width="3" bestFit="1" customWidth="1"/>
    <col min="28" max="28" width="9.5" bestFit="1" customWidth="1"/>
    <col min="29" max="29" width="12.5" bestFit="1" customWidth="1"/>
    <col min="30" max="30" width="3.75" bestFit="1" customWidth="1"/>
    <col min="33" max="33" width="3.75" bestFit="1" customWidth="1"/>
    <col min="36" max="36" width="3.75" bestFit="1" customWidth="1"/>
    <col min="39" max="39" width="3.75" bestFit="1" customWidth="1"/>
    <col min="42" max="42" width="3.75" bestFit="1" customWidth="1"/>
    <col min="45" max="45" width="3.75" bestFit="1" customWidth="1"/>
    <col min="48" max="48" width="3.75" bestFit="1" customWidth="1"/>
    <col min="51" max="51" width="3.75" bestFit="1" customWidth="1"/>
  </cols>
  <sheetData>
    <row r="1" spans="1:5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  <c r="AE1" s="7">
        <v>31</v>
      </c>
      <c r="AF1" s="7">
        <v>32</v>
      </c>
      <c r="AG1" s="7">
        <v>33</v>
      </c>
      <c r="AH1" s="7">
        <v>34</v>
      </c>
      <c r="AI1" s="7">
        <v>35</v>
      </c>
      <c r="AJ1" s="7">
        <v>36</v>
      </c>
      <c r="AK1" s="7">
        <v>37</v>
      </c>
      <c r="AL1" s="7">
        <v>38</v>
      </c>
      <c r="AM1" s="7">
        <v>39</v>
      </c>
      <c r="AN1" s="7">
        <v>40</v>
      </c>
      <c r="AO1" s="7">
        <v>41</v>
      </c>
      <c r="AP1" s="7">
        <v>42</v>
      </c>
      <c r="AQ1" s="7">
        <v>43</v>
      </c>
      <c r="AR1" s="7">
        <v>44</v>
      </c>
      <c r="AS1" s="7">
        <v>45</v>
      </c>
      <c r="AT1" s="7">
        <v>46</v>
      </c>
      <c r="AU1" s="7">
        <v>47</v>
      </c>
      <c r="AV1" s="7">
        <v>48</v>
      </c>
      <c r="AW1" s="7">
        <v>49</v>
      </c>
      <c r="AX1" s="7">
        <v>50</v>
      </c>
      <c r="AY1" s="7">
        <v>51</v>
      </c>
    </row>
    <row r="2" spans="1:53" ht="31.5" x14ac:dyDescent="0.25">
      <c r="A2" s="16" t="s">
        <v>28</v>
      </c>
      <c r="B2" s="16" t="s">
        <v>29</v>
      </c>
      <c r="C2" s="16" t="s">
        <v>30</v>
      </c>
      <c r="D2" s="16" t="s">
        <v>31</v>
      </c>
      <c r="F2" s="2"/>
      <c r="G2" s="2" t="s">
        <v>32</v>
      </c>
      <c r="H2" s="2">
        <v>0</v>
      </c>
      <c r="I2" s="5"/>
      <c r="J2" s="2" t="s">
        <v>33</v>
      </c>
      <c r="K2" s="2">
        <v>22.5</v>
      </c>
      <c r="L2" s="5"/>
      <c r="M2" s="2" t="s">
        <v>34</v>
      </c>
      <c r="N2" s="20">
        <v>45</v>
      </c>
      <c r="O2" s="5"/>
      <c r="P2" s="2" t="s">
        <v>35</v>
      </c>
      <c r="Q2" s="2">
        <v>67.5</v>
      </c>
      <c r="S2" s="2" t="s">
        <v>36</v>
      </c>
      <c r="T2" s="2">
        <v>90</v>
      </c>
      <c r="U2" s="5"/>
      <c r="V2" s="2" t="s">
        <v>37</v>
      </c>
      <c r="W2" s="2">
        <v>112.5</v>
      </c>
      <c r="X2" s="5"/>
      <c r="Y2" s="2" t="s">
        <v>38</v>
      </c>
      <c r="Z2" s="20">
        <v>135</v>
      </c>
      <c r="AA2" s="5"/>
      <c r="AB2" s="2" t="s">
        <v>39</v>
      </c>
      <c r="AC2" s="2">
        <v>157.5</v>
      </c>
      <c r="AE2" s="2" t="s">
        <v>40</v>
      </c>
      <c r="AF2" s="2">
        <v>180</v>
      </c>
      <c r="AG2" s="5"/>
      <c r="AH2" s="2" t="s">
        <v>41</v>
      </c>
      <c r="AI2" s="2">
        <v>202.5</v>
      </c>
      <c r="AJ2" s="5"/>
      <c r="AK2" s="2" t="s">
        <v>42</v>
      </c>
      <c r="AL2" s="20">
        <v>225</v>
      </c>
      <c r="AM2" s="5"/>
      <c r="AN2" s="2" t="s">
        <v>43</v>
      </c>
      <c r="AO2" s="2">
        <v>247.5</v>
      </c>
      <c r="AQ2" s="2" t="s">
        <v>44</v>
      </c>
      <c r="AR2" s="2">
        <v>270</v>
      </c>
      <c r="AS2" s="5"/>
      <c r="AT2" s="2" t="s">
        <v>45</v>
      </c>
      <c r="AU2" s="2">
        <v>292.5</v>
      </c>
      <c r="AV2" s="5"/>
      <c r="AW2" s="2" t="s">
        <v>46</v>
      </c>
      <c r="AX2" s="20">
        <v>315</v>
      </c>
      <c r="AY2" s="5"/>
      <c r="AZ2" s="2" t="s">
        <v>47</v>
      </c>
      <c r="BA2" s="2">
        <v>337.5</v>
      </c>
    </row>
    <row r="3" spans="1:53" x14ac:dyDescent="0.25">
      <c r="A3" s="17">
        <v>1</v>
      </c>
      <c r="B3" s="17" t="s">
        <v>32</v>
      </c>
      <c r="C3" s="17">
        <v>0</v>
      </c>
      <c r="D3" s="18">
        <v>0.35</v>
      </c>
      <c r="F3" s="2"/>
      <c r="G3" s="2" t="s">
        <v>2</v>
      </c>
      <c r="H3" s="2" t="s">
        <v>3</v>
      </c>
      <c r="I3" s="5"/>
      <c r="J3" s="2" t="s">
        <v>2</v>
      </c>
      <c r="K3" s="2" t="s">
        <v>3</v>
      </c>
      <c r="L3" s="5"/>
      <c r="M3" s="2" t="s">
        <v>2</v>
      </c>
      <c r="N3" s="20" t="s">
        <v>3</v>
      </c>
      <c r="O3" s="5"/>
      <c r="P3" s="2" t="s">
        <v>2</v>
      </c>
      <c r="Q3" s="2" t="s">
        <v>3</v>
      </c>
      <c r="S3" s="2" t="s">
        <v>2</v>
      </c>
      <c r="T3" s="2" t="s">
        <v>3</v>
      </c>
      <c r="U3" s="5"/>
      <c r="V3" s="2" t="s">
        <v>2</v>
      </c>
      <c r="W3" s="2" t="s">
        <v>3</v>
      </c>
      <c r="X3" s="5"/>
      <c r="Y3" s="2" t="s">
        <v>2</v>
      </c>
      <c r="Z3" s="20" t="s">
        <v>3</v>
      </c>
      <c r="AA3" s="5"/>
      <c r="AB3" s="2" t="s">
        <v>2</v>
      </c>
      <c r="AC3" s="2" t="s">
        <v>3</v>
      </c>
      <c r="AE3" s="2" t="s">
        <v>2</v>
      </c>
      <c r="AF3" s="2" t="s">
        <v>3</v>
      </c>
      <c r="AG3" s="5"/>
      <c r="AH3" s="2" t="s">
        <v>2</v>
      </c>
      <c r="AI3" s="2" t="s">
        <v>3</v>
      </c>
      <c r="AJ3" s="5"/>
      <c r="AK3" s="2" t="s">
        <v>2</v>
      </c>
      <c r="AL3" s="20" t="s">
        <v>3</v>
      </c>
      <c r="AM3" s="5"/>
      <c r="AN3" s="2" t="s">
        <v>2</v>
      </c>
      <c r="AO3" s="2" t="s">
        <v>3</v>
      </c>
      <c r="AQ3" s="2" t="s">
        <v>2</v>
      </c>
      <c r="AR3" s="2" t="s">
        <v>3</v>
      </c>
      <c r="AS3" s="5"/>
      <c r="AT3" s="2" t="s">
        <v>2</v>
      </c>
      <c r="AU3" s="2" t="s">
        <v>3</v>
      </c>
      <c r="AV3" s="5"/>
      <c r="AW3" s="2" t="s">
        <v>2</v>
      </c>
      <c r="AX3" s="20" t="s">
        <v>3</v>
      </c>
      <c r="AY3" s="5"/>
      <c r="AZ3" s="2" t="s">
        <v>2</v>
      </c>
      <c r="BA3" s="2" t="s">
        <v>3</v>
      </c>
    </row>
    <row r="4" spans="1:53" x14ac:dyDescent="0.25">
      <c r="A4" s="17">
        <v>2</v>
      </c>
      <c r="B4" s="17" t="s">
        <v>33</v>
      </c>
      <c r="C4" s="17">
        <v>22.5</v>
      </c>
      <c r="D4" s="18">
        <v>0.35</v>
      </c>
      <c r="F4" s="2"/>
      <c r="G4" s="2" t="s">
        <v>0</v>
      </c>
      <c r="H4" s="2" t="s">
        <v>1</v>
      </c>
      <c r="I4" s="5"/>
      <c r="J4" s="2" t="s">
        <v>0</v>
      </c>
      <c r="K4" s="2" t="s">
        <v>1</v>
      </c>
      <c r="L4" s="5"/>
      <c r="M4" s="2" t="s">
        <v>0</v>
      </c>
      <c r="N4" s="20" t="s">
        <v>1</v>
      </c>
      <c r="O4" s="5"/>
      <c r="P4" s="2" t="s">
        <v>0</v>
      </c>
      <c r="Q4" s="2" t="s">
        <v>1</v>
      </c>
      <c r="S4" s="2" t="s">
        <v>0</v>
      </c>
      <c r="T4" s="2" t="s">
        <v>1</v>
      </c>
      <c r="U4" s="5"/>
      <c r="V4" s="2" t="s">
        <v>0</v>
      </c>
      <c r="W4" s="2" t="s">
        <v>1</v>
      </c>
      <c r="X4" s="5"/>
      <c r="Y4" s="2" t="s">
        <v>0</v>
      </c>
      <c r="Z4" s="20" t="s">
        <v>1</v>
      </c>
      <c r="AA4" s="5"/>
      <c r="AB4" s="2" t="s">
        <v>0</v>
      </c>
      <c r="AC4" s="2" t="s">
        <v>1</v>
      </c>
      <c r="AE4" s="2" t="s">
        <v>0</v>
      </c>
      <c r="AF4" s="2" t="s">
        <v>1</v>
      </c>
      <c r="AG4" s="5"/>
      <c r="AH4" s="2" t="s">
        <v>0</v>
      </c>
      <c r="AI4" s="2" t="s">
        <v>1</v>
      </c>
      <c r="AJ4" s="5"/>
      <c r="AK4" s="2" t="s">
        <v>0</v>
      </c>
      <c r="AL4" s="20" t="s">
        <v>1</v>
      </c>
      <c r="AM4" s="5"/>
      <c r="AN4" s="2" t="s">
        <v>0</v>
      </c>
      <c r="AO4" s="2" t="s">
        <v>1</v>
      </c>
      <c r="AQ4" s="2" t="s">
        <v>0</v>
      </c>
      <c r="AR4" s="2" t="s">
        <v>1</v>
      </c>
      <c r="AS4" s="5"/>
      <c r="AT4" s="2" t="s">
        <v>0</v>
      </c>
      <c r="AU4" s="2" t="s">
        <v>1</v>
      </c>
      <c r="AV4" s="5"/>
      <c r="AW4" s="2" t="s">
        <v>0</v>
      </c>
      <c r="AX4" s="20" t="s">
        <v>1</v>
      </c>
      <c r="AY4" s="5"/>
      <c r="AZ4" s="2" t="s">
        <v>0</v>
      </c>
      <c r="BA4" s="2" t="s">
        <v>1</v>
      </c>
    </row>
    <row r="5" spans="1:53" x14ac:dyDescent="0.25">
      <c r="A5" s="17">
        <v>3</v>
      </c>
      <c r="B5" s="17" t="s">
        <v>34</v>
      </c>
      <c r="C5" s="17">
        <v>45</v>
      </c>
      <c r="D5" s="18">
        <v>0.35</v>
      </c>
      <c r="F5" s="2">
        <v>1</v>
      </c>
      <c r="G5" s="3">
        <v>25</v>
      </c>
      <c r="H5" s="21">
        <f>$B$30*H30</f>
        <v>3.7440000000000002</v>
      </c>
      <c r="I5" s="1"/>
      <c r="J5" s="3">
        <v>25</v>
      </c>
      <c r="K5" s="21">
        <f>$B$30*K30</f>
        <v>3.6720000000000002</v>
      </c>
      <c r="L5" s="1"/>
      <c r="M5" s="3">
        <v>25</v>
      </c>
      <c r="N5" s="21">
        <f>$B$30*N30</f>
        <v>2.5920000000000001</v>
      </c>
      <c r="O5" s="1"/>
      <c r="P5" s="3">
        <v>25</v>
      </c>
      <c r="Q5" s="21">
        <f>$B$30*Q30</f>
        <v>2.52</v>
      </c>
      <c r="S5" s="3">
        <v>25</v>
      </c>
      <c r="T5" s="21">
        <f>$B$30*T30</f>
        <v>2.0880000000000001</v>
      </c>
      <c r="U5" s="1"/>
      <c r="V5" s="3">
        <v>25</v>
      </c>
      <c r="W5" s="21">
        <f>$B$30*W30</f>
        <v>1.728</v>
      </c>
      <c r="X5" s="1"/>
      <c r="Y5" s="3">
        <v>25</v>
      </c>
      <c r="Z5" s="21">
        <f>$B$30*Z30</f>
        <v>1.9440000000000002</v>
      </c>
      <c r="AA5" s="1"/>
      <c r="AB5" s="3">
        <v>25</v>
      </c>
      <c r="AC5" s="21">
        <f>$B$30*AC30</f>
        <v>3.0960000000000001</v>
      </c>
      <c r="AE5" s="3">
        <v>25</v>
      </c>
      <c r="AF5" s="21">
        <f>$B$30*AF30</f>
        <v>2.5920000000000001</v>
      </c>
      <c r="AG5" s="1"/>
      <c r="AH5" s="3">
        <v>25</v>
      </c>
      <c r="AI5" s="21">
        <f>$B$30*AI30</f>
        <v>2.7360000000000002</v>
      </c>
      <c r="AJ5" s="1"/>
      <c r="AK5" s="3">
        <v>25</v>
      </c>
      <c r="AL5" s="21">
        <f>$B$30*AL30</f>
        <v>3.024</v>
      </c>
      <c r="AM5" s="1"/>
      <c r="AN5" s="3">
        <v>25</v>
      </c>
      <c r="AO5" s="21">
        <f>$B$30*AO30</f>
        <v>3.6720000000000002</v>
      </c>
      <c r="AQ5" s="3">
        <v>25</v>
      </c>
      <c r="AR5" s="21">
        <f>$B$30*AR30</f>
        <v>2.3040000000000003</v>
      </c>
      <c r="AS5" s="1"/>
      <c r="AT5" s="3">
        <v>25</v>
      </c>
      <c r="AU5" s="21">
        <f>$B$30*AU30</f>
        <v>2.6640000000000001</v>
      </c>
      <c r="AV5" s="1"/>
      <c r="AW5" s="3">
        <v>25</v>
      </c>
      <c r="AX5" s="21">
        <f>$B$30*AX30</f>
        <v>2.5920000000000001</v>
      </c>
      <c r="AY5" s="1"/>
      <c r="AZ5" s="3">
        <v>25</v>
      </c>
      <c r="BA5" s="21">
        <f>$B$30*BA30</f>
        <v>2.8800000000000003</v>
      </c>
    </row>
    <row r="6" spans="1:53" x14ac:dyDescent="0.25">
      <c r="A6" s="17">
        <v>4</v>
      </c>
      <c r="B6" s="17" t="s">
        <v>35</v>
      </c>
      <c r="C6" s="17">
        <v>67.5</v>
      </c>
      <c r="D6" s="18">
        <v>0.35</v>
      </c>
      <c r="F6" s="2">
        <v>2</v>
      </c>
      <c r="G6" s="4">
        <v>50</v>
      </c>
      <c r="H6" s="21">
        <f t="shared" ref="H6:H13" si="0">$B$30*H31</f>
        <v>4.2480000000000002</v>
      </c>
      <c r="I6" s="1"/>
      <c r="J6" s="4">
        <v>50</v>
      </c>
      <c r="K6" s="21">
        <f t="shared" ref="K6:K13" si="1">$B$30*K31</f>
        <v>3.8880000000000003</v>
      </c>
      <c r="L6" s="1"/>
      <c r="M6" s="4">
        <v>50</v>
      </c>
      <c r="N6" s="21">
        <f t="shared" ref="N6:N13" si="2">$B$30*N31</f>
        <v>2.8080000000000003</v>
      </c>
      <c r="O6" s="1"/>
      <c r="P6" s="4">
        <v>50</v>
      </c>
      <c r="Q6" s="21">
        <f t="shared" ref="Q6:Q13" si="3">$B$30*Q31</f>
        <v>2.7360000000000002</v>
      </c>
      <c r="S6" s="4">
        <v>50</v>
      </c>
      <c r="T6" s="21">
        <f t="shared" ref="T6:T13" si="4">$B$30*T31</f>
        <v>2.16</v>
      </c>
      <c r="U6" s="1"/>
      <c r="V6" s="4">
        <v>50</v>
      </c>
      <c r="W6" s="21">
        <f t="shared" ref="W6:W13" si="5">$B$30*W31</f>
        <v>1.728</v>
      </c>
      <c r="X6" s="1"/>
      <c r="Y6" s="4">
        <v>50</v>
      </c>
      <c r="Z6" s="21">
        <f t="shared" ref="Z6:Z13" si="6">$B$30*Z31</f>
        <v>2.16</v>
      </c>
      <c r="AA6" s="1"/>
      <c r="AB6" s="4">
        <v>50</v>
      </c>
      <c r="AC6" s="21">
        <f t="shared" ref="AC6:AC13" si="7">$B$30*AC31</f>
        <v>3.6</v>
      </c>
      <c r="AE6" s="4">
        <v>50</v>
      </c>
      <c r="AF6" s="21">
        <f t="shared" ref="AF6:AF13" si="8">$B$30*AF31</f>
        <v>2.5920000000000001</v>
      </c>
      <c r="AG6" s="1"/>
      <c r="AH6" s="4">
        <v>50</v>
      </c>
      <c r="AI6" s="21">
        <f t="shared" ref="AI6:AI13" si="9">$B$30*AI31</f>
        <v>3.024</v>
      </c>
      <c r="AJ6" s="1"/>
      <c r="AK6" s="4">
        <v>50</v>
      </c>
      <c r="AL6" s="21">
        <f t="shared" ref="AL6:AL13" si="10">$B$30*AL31</f>
        <v>3.1680000000000001</v>
      </c>
      <c r="AM6" s="1"/>
      <c r="AN6" s="4">
        <v>50</v>
      </c>
      <c r="AO6" s="21">
        <f t="shared" ref="AO6:AO13" si="11">$B$30*AO31</f>
        <v>4.1760000000000002</v>
      </c>
      <c r="AQ6" s="4">
        <v>50</v>
      </c>
      <c r="AR6" s="21">
        <f t="shared" ref="AR6:AR13" si="12">$B$30*AR31</f>
        <v>2.52</v>
      </c>
      <c r="AS6" s="1"/>
      <c r="AT6" s="4">
        <v>50</v>
      </c>
      <c r="AU6" s="21">
        <f t="shared" ref="AU6:AU13" si="13">$B$30*AU31</f>
        <v>2.952</v>
      </c>
      <c r="AV6" s="1"/>
      <c r="AW6" s="4">
        <v>50</v>
      </c>
      <c r="AX6" s="21">
        <f t="shared" ref="AX6:AX13" si="14">$B$30*AX31</f>
        <v>2.8080000000000003</v>
      </c>
      <c r="AY6" s="1"/>
      <c r="AZ6" s="4">
        <v>50</v>
      </c>
      <c r="BA6" s="21">
        <f t="shared" ref="BA6:BA13" si="15">$B$30*BA31</f>
        <v>3.0960000000000001</v>
      </c>
    </row>
    <row r="7" spans="1:53" x14ac:dyDescent="0.25">
      <c r="A7" s="17">
        <v>5</v>
      </c>
      <c r="B7" s="17" t="s">
        <v>36</v>
      </c>
      <c r="C7" s="17">
        <v>90</v>
      </c>
      <c r="D7" s="18">
        <v>0.35</v>
      </c>
      <c r="F7" s="2">
        <v>3</v>
      </c>
      <c r="G7" s="4">
        <v>75</v>
      </c>
      <c r="H7" s="21">
        <f t="shared" si="0"/>
        <v>4.7520000000000007</v>
      </c>
      <c r="I7" s="1"/>
      <c r="J7" s="4">
        <v>75</v>
      </c>
      <c r="K7" s="21">
        <f t="shared" si="1"/>
        <v>4.1760000000000002</v>
      </c>
      <c r="L7" s="1"/>
      <c r="M7" s="4">
        <v>75</v>
      </c>
      <c r="N7" s="21">
        <f t="shared" si="2"/>
        <v>3.0960000000000001</v>
      </c>
      <c r="O7" s="1"/>
      <c r="P7" s="4">
        <v>75</v>
      </c>
      <c r="Q7" s="21">
        <f t="shared" si="3"/>
        <v>2.8800000000000003</v>
      </c>
      <c r="S7" s="4">
        <v>75</v>
      </c>
      <c r="T7" s="21">
        <f t="shared" si="4"/>
        <v>2.3760000000000003</v>
      </c>
      <c r="U7" s="1"/>
      <c r="V7" s="4">
        <v>75</v>
      </c>
      <c r="W7" s="21">
        <f t="shared" si="5"/>
        <v>1.8720000000000001</v>
      </c>
      <c r="X7" s="1"/>
      <c r="Y7" s="4">
        <v>75</v>
      </c>
      <c r="Z7" s="21">
        <f t="shared" si="6"/>
        <v>2.4480000000000004</v>
      </c>
      <c r="AA7" s="1"/>
      <c r="AB7" s="4">
        <v>75</v>
      </c>
      <c r="AC7" s="21">
        <f t="shared" si="7"/>
        <v>4.1760000000000002</v>
      </c>
      <c r="AE7" s="4">
        <v>75</v>
      </c>
      <c r="AF7" s="21">
        <f t="shared" si="8"/>
        <v>2.5920000000000001</v>
      </c>
      <c r="AG7" s="1"/>
      <c r="AH7" s="4">
        <v>75</v>
      </c>
      <c r="AI7" s="21">
        <f t="shared" si="9"/>
        <v>3.3839999999999999</v>
      </c>
      <c r="AJ7" s="1"/>
      <c r="AK7" s="4">
        <v>75</v>
      </c>
      <c r="AL7" s="21">
        <f t="shared" si="10"/>
        <v>3.3839999999999999</v>
      </c>
      <c r="AM7" s="1"/>
      <c r="AN7" s="4">
        <v>75</v>
      </c>
      <c r="AO7" s="21">
        <f t="shared" si="11"/>
        <v>4.4640000000000004</v>
      </c>
      <c r="AQ7" s="4">
        <v>75</v>
      </c>
      <c r="AR7" s="21">
        <f t="shared" si="12"/>
        <v>2.6640000000000001</v>
      </c>
      <c r="AS7" s="1"/>
      <c r="AT7" s="4">
        <v>75</v>
      </c>
      <c r="AU7" s="21">
        <f t="shared" si="13"/>
        <v>3.24</v>
      </c>
      <c r="AV7" s="1"/>
      <c r="AW7" s="4">
        <v>75</v>
      </c>
      <c r="AX7" s="21">
        <f t="shared" si="14"/>
        <v>3.0960000000000001</v>
      </c>
      <c r="AY7" s="1"/>
      <c r="AZ7" s="4">
        <v>75</v>
      </c>
      <c r="BA7" s="21">
        <f t="shared" si="15"/>
        <v>3.24</v>
      </c>
    </row>
    <row r="8" spans="1:53" x14ac:dyDescent="0.25">
      <c r="A8" s="17">
        <v>6</v>
      </c>
      <c r="B8" s="17" t="s">
        <v>37</v>
      </c>
      <c r="C8" s="17">
        <v>112.5</v>
      </c>
      <c r="D8" s="18">
        <v>0.35</v>
      </c>
      <c r="F8" s="2">
        <v>4</v>
      </c>
      <c r="G8" s="4">
        <v>100</v>
      </c>
      <c r="H8" s="21">
        <f t="shared" si="0"/>
        <v>5.04</v>
      </c>
      <c r="I8" s="1"/>
      <c r="J8" s="4">
        <v>100</v>
      </c>
      <c r="K8" s="21">
        <f t="shared" si="1"/>
        <v>4.4640000000000004</v>
      </c>
      <c r="L8" s="1"/>
      <c r="M8" s="4">
        <v>100</v>
      </c>
      <c r="N8" s="21">
        <f t="shared" si="2"/>
        <v>3.3839999999999999</v>
      </c>
      <c r="O8" s="1"/>
      <c r="P8" s="4">
        <v>100</v>
      </c>
      <c r="Q8" s="21">
        <f t="shared" si="3"/>
        <v>2.8800000000000003</v>
      </c>
      <c r="S8" s="4">
        <v>100</v>
      </c>
      <c r="T8" s="21">
        <f t="shared" si="4"/>
        <v>2.5920000000000001</v>
      </c>
      <c r="U8" s="1"/>
      <c r="V8" s="4">
        <v>100</v>
      </c>
      <c r="W8" s="21">
        <f t="shared" si="5"/>
        <v>1.9440000000000002</v>
      </c>
      <c r="X8" s="1"/>
      <c r="Y8" s="4">
        <v>100</v>
      </c>
      <c r="Z8" s="21">
        <f t="shared" si="6"/>
        <v>2.8080000000000003</v>
      </c>
      <c r="AA8" s="1"/>
      <c r="AB8" s="4">
        <v>100</v>
      </c>
      <c r="AC8" s="21">
        <f t="shared" si="7"/>
        <v>4.6800000000000006</v>
      </c>
      <c r="AE8" s="4">
        <v>100</v>
      </c>
      <c r="AF8" s="21">
        <f t="shared" si="8"/>
        <v>2.6640000000000001</v>
      </c>
      <c r="AG8" s="1"/>
      <c r="AH8" s="4">
        <v>100</v>
      </c>
      <c r="AI8" s="21">
        <f t="shared" si="9"/>
        <v>3.7440000000000002</v>
      </c>
      <c r="AJ8" s="1"/>
      <c r="AK8" s="4">
        <v>100</v>
      </c>
      <c r="AL8" s="21">
        <f t="shared" si="10"/>
        <v>3.6</v>
      </c>
      <c r="AM8" s="1"/>
      <c r="AN8" s="4">
        <v>100</v>
      </c>
      <c r="AO8" s="21">
        <f t="shared" si="11"/>
        <v>4.7520000000000007</v>
      </c>
      <c r="AQ8" s="4">
        <v>100</v>
      </c>
      <c r="AR8" s="21">
        <f t="shared" si="12"/>
        <v>2.8800000000000003</v>
      </c>
      <c r="AS8" s="1"/>
      <c r="AT8" s="4">
        <v>100</v>
      </c>
      <c r="AU8" s="21">
        <f t="shared" si="13"/>
        <v>3.6720000000000002</v>
      </c>
      <c r="AV8" s="1"/>
      <c r="AW8" s="4">
        <v>100</v>
      </c>
      <c r="AX8" s="21">
        <f t="shared" si="14"/>
        <v>3.3839999999999999</v>
      </c>
      <c r="AY8" s="1"/>
      <c r="AZ8" s="4">
        <v>100</v>
      </c>
      <c r="BA8" s="21">
        <f t="shared" si="15"/>
        <v>3.3120000000000003</v>
      </c>
    </row>
    <row r="9" spans="1:53" x14ac:dyDescent="0.25">
      <c r="A9" s="17">
        <v>7</v>
      </c>
      <c r="B9" s="17" t="s">
        <v>38</v>
      </c>
      <c r="C9" s="17">
        <v>135</v>
      </c>
      <c r="D9" s="18"/>
      <c r="F9" s="2">
        <v>5</v>
      </c>
      <c r="G9" s="4">
        <v>150</v>
      </c>
      <c r="H9" s="21">
        <f t="shared" si="0"/>
        <v>5.6160000000000005</v>
      </c>
      <c r="I9" s="1"/>
      <c r="J9" s="4">
        <v>150</v>
      </c>
      <c r="K9" s="21">
        <f t="shared" si="1"/>
        <v>4.8240000000000007</v>
      </c>
      <c r="L9" s="1"/>
      <c r="M9" s="4">
        <v>150</v>
      </c>
      <c r="N9" s="21">
        <f t="shared" si="2"/>
        <v>3.9600000000000004</v>
      </c>
      <c r="O9" s="1"/>
      <c r="P9" s="4">
        <v>150</v>
      </c>
      <c r="Q9" s="21">
        <f t="shared" si="3"/>
        <v>3.0960000000000001</v>
      </c>
      <c r="S9" s="4">
        <v>150</v>
      </c>
      <c r="T9" s="21">
        <f t="shared" si="4"/>
        <v>2.8800000000000003</v>
      </c>
      <c r="U9" s="1"/>
      <c r="V9" s="4">
        <v>150</v>
      </c>
      <c r="W9" s="21">
        <f t="shared" si="5"/>
        <v>2.2320000000000002</v>
      </c>
      <c r="X9" s="1"/>
      <c r="Y9" s="4">
        <v>150</v>
      </c>
      <c r="Z9" s="21">
        <f t="shared" si="6"/>
        <v>3.3120000000000003</v>
      </c>
      <c r="AA9" s="1"/>
      <c r="AB9" s="4">
        <v>150</v>
      </c>
      <c r="AC9" s="21">
        <f t="shared" si="7"/>
        <v>5.4720000000000004</v>
      </c>
      <c r="AE9" s="4">
        <v>150</v>
      </c>
      <c r="AF9" s="21">
        <f t="shared" si="8"/>
        <v>3.6</v>
      </c>
      <c r="AG9" s="1"/>
      <c r="AH9" s="4">
        <v>150</v>
      </c>
      <c r="AI9" s="21">
        <f t="shared" si="9"/>
        <v>4.3920000000000003</v>
      </c>
      <c r="AJ9" s="1"/>
      <c r="AK9" s="4">
        <v>150</v>
      </c>
      <c r="AL9" s="21">
        <f t="shared" si="10"/>
        <v>4.2480000000000002</v>
      </c>
      <c r="AM9" s="1"/>
      <c r="AN9" s="4">
        <v>150</v>
      </c>
      <c r="AO9" s="21">
        <f t="shared" si="11"/>
        <v>5.1120000000000001</v>
      </c>
      <c r="AQ9" s="4">
        <v>150</v>
      </c>
      <c r="AR9" s="21">
        <f t="shared" si="12"/>
        <v>3.1680000000000001</v>
      </c>
      <c r="AS9" s="1"/>
      <c r="AT9" s="4">
        <v>150</v>
      </c>
      <c r="AU9" s="21">
        <f t="shared" si="13"/>
        <v>4.3920000000000003</v>
      </c>
      <c r="AV9" s="1"/>
      <c r="AW9" s="4">
        <v>150</v>
      </c>
      <c r="AX9" s="21">
        <f t="shared" si="14"/>
        <v>3.8160000000000003</v>
      </c>
      <c r="AY9" s="1"/>
      <c r="AZ9" s="4">
        <v>150</v>
      </c>
      <c r="BA9" s="21">
        <f t="shared" si="15"/>
        <v>3.6</v>
      </c>
    </row>
    <row r="10" spans="1:53" x14ac:dyDescent="0.25">
      <c r="A10" s="17">
        <v>8</v>
      </c>
      <c r="B10" s="17" t="s">
        <v>39</v>
      </c>
      <c r="C10" s="17">
        <v>157.5</v>
      </c>
      <c r="D10" s="18">
        <v>0.35</v>
      </c>
      <c r="F10" s="2">
        <v>6</v>
      </c>
      <c r="G10" s="4">
        <v>200</v>
      </c>
      <c r="H10" s="21">
        <f t="shared" si="0"/>
        <v>5.976</v>
      </c>
      <c r="I10" s="1"/>
      <c r="J10" s="4">
        <v>200</v>
      </c>
      <c r="K10" s="21">
        <f t="shared" si="1"/>
        <v>5.2560000000000002</v>
      </c>
      <c r="L10" s="1"/>
      <c r="M10" s="4">
        <v>200</v>
      </c>
      <c r="N10" s="21">
        <f t="shared" si="2"/>
        <v>4.4640000000000004</v>
      </c>
      <c r="O10" s="1"/>
      <c r="P10" s="4">
        <v>200</v>
      </c>
      <c r="Q10" s="21">
        <f t="shared" si="3"/>
        <v>3.3120000000000003</v>
      </c>
      <c r="S10" s="4">
        <v>200</v>
      </c>
      <c r="T10" s="21">
        <f t="shared" si="4"/>
        <v>3.24</v>
      </c>
      <c r="U10" s="1"/>
      <c r="V10" s="4">
        <v>200</v>
      </c>
      <c r="W10" s="21">
        <f t="shared" si="5"/>
        <v>2.52</v>
      </c>
      <c r="X10" s="1"/>
      <c r="Y10" s="4">
        <v>200</v>
      </c>
      <c r="Z10" s="21">
        <f t="shared" si="6"/>
        <v>4.0320000000000009</v>
      </c>
      <c r="AA10" s="1"/>
      <c r="AB10" s="4">
        <v>200</v>
      </c>
      <c r="AC10" s="21">
        <f t="shared" si="7"/>
        <v>5.8320000000000007</v>
      </c>
      <c r="AE10" s="4">
        <v>200</v>
      </c>
      <c r="AF10" s="21">
        <f t="shared" si="8"/>
        <v>4.7520000000000007</v>
      </c>
      <c r="AG10" s="1"/>
      <c r="AH10" s="4">
        <v>200</v>
      </c>
      <c r="AI10" s="21">
        <f t="shared" si="9"/>
        <v>5.04</v>
      </c>
      <c r="AJ10" s="1"/>
      <c r="AK10" s="4">
        <v>200</v>
      </c>
      <c r="AL10" s="21">
        <f t="shared" si="10"/>
        <v>5.04</v>
      </c>
      <c r="AM10" s="1"/>
      <c r="AN10" s="4">
        <v>200</v>
      </c>
      <c r="AO10" s="21">
        <f t="shared" si="11"/>
        <v>5.1120000000000001</v>
      </c>
      <c r="AQ10" s="4">
        <v>200</v>
      </c>
      <c r="AR10" s="21">
        <f t="shared" si="12"/>
        <v>3.3839999999999999</v>
      </c>
      <c r="AS10" s="1"/>
      <c r="AT10" s="4">
        <v>200</v>
      </c>
      <c r="AU10" s="21">
        <f t="shared" si="13"/>
        <v>4.968</v>
      </c>
      <c r="AV10" s="1"/>
      <c r="AW10" s="4">
        <v>200</v>
      </c>
      <c r="AX10" s="21">
        <f t="shared" si="14"/>
        <v>4.2480000000000002</v>
      </c>
      <c r="AY10" s="1"/>
      <c r="AZ10" s="4">
        <v>200</v>
      </c>
      <c r="BA10" s="21">
        <f t="shared" si="15"/>
        <v>3.9600000000000004</v>
      </c>
    </row>
    <row r="11" spans="1:53" x14ac:dyDescent="0.25">
      <c r="A11" s="17">
        <v>9</v>
      </c>
      <c r="B11" s="17" t="s">
        <v>40</v>
      </c>
      <c r="C11" s="17">
        <v>180</v>
      </c>
      <c r="D11" s="18">
        <v>0.35</v>
      </c>
      <c r="F11" s="2">
        <v>7</v>
      </c>
      <c r="G11" s="4">
        <v>300</v>
      </c>
      <c r="H11" s="21">
        <f t="shared" si="0"/>
        <v>6.2640000000000002</v>
      </c>
      <c r="I11" s="1"/>
      <c r="J11" s="4">
        <v>300</v>
      </c>
      <c r="K11" s="21">
        <f t="shared" si="1"/>
        <v>5.9039999999999999</v>
      </c>
      <c r="L11" s="1"/>
      <c r="M11" s="4">
        <v>300</v>
      </c>
      <c r="N11" s="21">
        <f t="shared" si="2"/>
        <v>5.4720000000000004</v>
      </c>
      <c r="O11" s="1"/>
      <c r="P11" s="4">
        <v>300</v>
      </c>
      <c r="Q11" s="21">
        <f t="shared" si="3"/>
        <v>3.6</v>
      </c>
      <c r="S11" s="4">
        <v>300</v>
      </c>
      <c r="T11" s="21">
        <f t="shared" si="4"/>
        <v>3.6</v>
      </c>
      <c r="U11" s="1"/>
      <c r="V11" s="4">
        <v>300</v>
      </c>
      <c r="W11" s="21">
        <f t="shared" si="5"/>
        <v>3.24</v>
      </c>
      <c r="X11" s="1"/>
      <c r="Y11" s="4">
        <v>300</v>
      </c>
      <c r="Z11" s="21">
        <f t="shared" si="6"/>
        <v>4.968</v>
      </c>
      <c r="AA11" s="1"/>
      <c r="AB11" s="4">
        <v>300</v>
      </c>
      <c r="AC11" s="21">
        <f t="shared" si="7"/>
        <v>6.1920000000000002</v>
      </c>
      <c r="AE11" s="4">
        <v>300</v>
      </c>
      <c r="AF11" s="21">
        <f t="shared" si="8"/>
        <v>6.1920000000000002</v>
      </c>
      <c r="AG11" s="1"/>
      <c r="AH11" s="4">
        <v>300</v>
      </c>
      <c r="AI11" s="21">
        <f t="shared" si="9"/>
        <v>5.976</v>
      </c>
      <c r="AJ11" s="1"/>
      <c r="AK11" s="4">
        <v>300</v>
      </c>
      <c r="AL11" s="21">
        <f t="shared" si="10"/>
        <v>5.976</v>
      </c>
      <c r="AM11" s="1"/>
      <c r="AN11" s="4">
        <v>300</v>
      </c>
      <c r="AO11" s="21">
        <f t="shared" si="11"/>
        <v>4.8960000000000008</v>
      </c>
      <c r="AQ11" s="4">
        <v>300</v>
      </c>
      <c r="AR11" s="21">
        <f t="shared" si="12"/>
        <v>3.6720000000000002</v>
      </c>
      <c r="AS11" s="1"/>
      <c r="AT11" s="4">
        <v>300</v>
      </c>
      <c r="AU11" s="21">
        <f t="shared" si="13"/>
        <v>5.7600000000000007</v>
      </c>
      <c r="AV11" s="1"/>
      <c r="AW11" s="4">
        <v>300</v>
      </c>
      <c r="AX11" s="21">
        <f t="shared" si="14"/>
        <v>5.04</v>
      </c>
      <c r="AY11" s="1"/>
      <c r="AZ11" s="4">
        <v>300</v>
      </c>
      <c r="BA11" s="21">
        <f t="shared" si="15"/>
        <v>4.6800000000000006</v>
      </c>
    </row>
    <row r="12" spans="1:53" x14ac:dyDescent="0.25">
      <c r="A12" s="17">
        <v>10</v>
      </c>
      <c r="B12" s="17" t="s">
        <v>41</v>
      </c>
      <c r="C12" s="17">
        <v>202.5</v>
      </c>
      <c r="D12" s="18">
        <v>0.35</v>
      </c>
      <c r="F12" s="2">
        <v>8</v>
      </c>
      <c r="G12" s="4">
        <v>400</v>
      </c>
      <c r="H12" s="21">
        <f t="shared" si="0"/>
        <v>6.6240000000000006</v>
      </c>
      <c r="I12" s="1"/>
      <c r="J12" s="4">
        <v>400</v>
      </c>
      <c r="K12" s="21">
        <f t="shared" si="1"/>
        <v>6.4080000000000004</v>
      </c>
      <c r="L12" s="1"/>
      <c r="M12" s="4">
        <v>400</v>
      </c>
      <c r="N12" s="21">
        <f t="shared" si="2"/>
        <v>5.9039999999999999</v>
      </c>
      <c r="O12" s="1"/>
      <c r="P12" s="4">
        <v>400</v>
      </c>
      <c r="Q12" s="21">
        <f t="shared" si="3"/>
        <v>3.7440000000000002</v>
      </c>
      <c r="S12" s="4">
        <v>400</v>
      </c>
      <c r="T12" s="21">
        <f t="shared" si="4"/>
        <v>4.4640000000000004</v>
      </c>
      <c r="U12" s="1"/>
      <c r="V12" s="4">
        <v>400</v>
      </c>
      <c r="W12" s="21">
        <f t="shared" si="5"/>
        <v>3.8160000000000003</v>
      </c>
      <c r="X12" s="1"/>
      <c r="Y12" s="4">
        <v>400</v>
      </c>
      <c r="Z12" s="21">
        <f t="shared" si="6"/>
        <v>5.6880000000000006</v>
      </c>
      <c r="AA12" s="1"/>
      <c r="AB12" s="4">
        <v>400</v>
      </c>
      <c r="AC12" s="21">
        <f t="shared" si="7"/>
        <v>6.3360000000000003</v>
      </c>
      <c r="AE12" s="4">
        <v>400</v>
      </c>
      <c r="AF12" s="21">
        <f t="shared" si="8"/>
        <v>6.5520000000000005</v>
      </c>
      <c r="AG12" s="1"/>
      <c r="AH12" s="4">
        <v>400</v>
      </c>
      <c r="AI12" s="21">
        <f t="shared" si="9"/>
        <v>6.4080000000000004</v>
      </c>
      <c r="AJ12" s="1"/>
      <c r="AK12" s="4">
        <v>400</v>
      </c>
      <c r="AL12" s="21">
        <f t="shared" si="10"/>
        <v>6.4080000000000004</v>
      </c>
      <c r="AM12" s="1"/>
      <c r="AN12" s="4">
        <v>400</v>
      </c>
      <c r="AO12" s="21">
        <f t="shared" si="11"/>
        <v>4.7520000000000007</v>
      </c>
      <c r="AQ12" s="4">
        <v>400</v>
      </c>
      <c r="AR12" s="21">
        <f t="shared" si="12"/>
        <v>3.9600000000000004</v>
      </c>
      <c r="AS12" s="1"/>
      <c r="AT12" s="4">
        <v>400</v>
      </c>
      <c r="AU12" s="21">
        <f t="shared" si="13"/>
        <v>6.1920000000000002</v>
      </c>
      <c r="AV12" s="1"/>
      <c r="AW12" s="4">
        <v>400</v>
      </c>
      <c r="AX12" s="21">
        <f t="shared" si="14"/>
        <v>5.9039999999999999</v>
      </c>
      <c r="AY12" s="1"/>
      <c r="AZ12" s="4">
        <v>400</v>
      </c>
      <c r="BA12" s="21">
        <f t="shared" si="15"/>
        <v>5.4</v>
      </c>
    </row>
    <row r="13" spans="1:53" x14ac:dyDescent="0.25">
      <c r="A13" s="17">
        <v>11</v>
      </c>
      <c r="B13" s="17" t="s">
        <v>42</v>
      </c>
      <c r="C13" s="17">
        <v>225</v>
      </c>
      <c r="D13" s="18">
        <v>0.35</v>
      </c>
      <c r="F13" s="2">
        <v>9</v>
      </c>
      <c r="G13" s="4">
        <v>500</v>
      </c>
      <c r="H13" s="21">
        <f t="shared" si="0"/>
        <v>6.84</v>
      </c>
      <c r="I13" s="1"/>
      <c r="J13" s="4">
        <v>500</v>
      </c>
      <c r="K13" s="21">
        <f t="shared" si="1"/>
        <v>6.6960000000000006</v>
      </c>
      <c r="L13" s="1"/>
      <c r="M13" s="4">
        <v>500</v>
      </c>
      <c r="N13" s="21">
        <f t="shared" si="2"/>
        <v>6.4080000000000004</v>
      </c>
      <c r="O13" s="1"/>
      <c r="P13" s="4">
        <v>500</v>
      </c>
      <c r="Q13" s="21">
        <f t="shared" si="3"/>
        <v>4.0320000000000009</v>
      </c>
      <c r="S13" s="4">
        <v>500</v>
      </c>
      <c r="T13" s="21">
        <f t="shared" si="4"/>
        <v>5.2560000000000002</v>
      </c>
      <c r="U13" s="1"/>
      <c r="V13" s="4">
        <v>500</v>
      </c>
      <c r="W13" s="21">
        <f t="shared" si="5"/>
        <v>4.6800000000000006</v>
      </c>
      <c r="X13" s="1"/>
      <c r="Y13" s="4">
        <v>500</v>
      </c>
      <c r="Z13" s="21">
        <f t="shared" si="6"/>
        <v>6.048</v>
      </c>
      <c r="AA13" s="1"/>
      <c r="AB13" s="4">
        <v>500</v>
      </c>
      <c r="AC13" s="21">
        <f t="shared" si="7"/>
        <v>6.6240000000000006</v>
      </c>
      <c r="AE13" s="4">
        <v>500</v>
      </c>
      <c r="AF13" s="21">
        <f t="shared" si="8"/>
        <v>6.6960000000000006</v>
      </c>
      <c r="AG13" s="1"/>
      <c r="AH13" s="4">
        <v>500</v>
      </c>
      <c r="AI13" s="21">
        <f t="shared" si="9"/>
        <v>6.5520000000000005</v>
      </c>
      <c r="AJ13" s="1"/>
      <c r="AK13" s="4">
        <v>500</v>
      </c>
      <c r="AL13" s="21">
        <f t="shared" si="10"/>
        <v>6.48</v>
      </c>
      <c r="AM13" s="1"/>
      <c r="AN13" s="4">
        <v>500</v>
      </c>
      <c r="AO13" s="21">
        <f t="shared" si="11"/>
        <v>5.1120000000000001</v>
      </c>
      <c r="AQ13" s="4">
        <v>500</v>
      </c>
      <c r="AR13" s="21">
        <f t="shared" si="12"/>
        <v>4.3920000000000003</v>
      </c>
      <c r="AS13" s="1"/>
      <c r="AT13" s="4">
        <v>500</v>
      </c>
      <c r="AU13" s="22">
        <f t="shared" si="13"/>
        <v>6.3360000000000003</v>
      </c>
      <c r="AV13" s="1"/>
      <c r="AW13" s="4">
        <v>500</v>
      </c>
      <c r="AX13" s="21">
        <f t="shared" si="14"/>
        <v>6.3360000000000003</v>
      </c>
      <c r="AY13" s="1"/>
      <c r="AZ13" s="4">
        <v>500</v>
      </c>
      <c r="BA13" s="21">
        <f t="shared" si="15"/>
        <v>6.048</v>
      </c>
    </row>
    <row r="14" spans="1:53" x14ac:dyDescent="0.25">
      <c r="A14" s="17">
        <v>12</v>
      </c>
      <c r="B14" s="17" t="s">
        <v>43</v>
      </c>
      <c r="C14" s="17">
        <v>247.5</v>
      </c>
      <c r="D14" s="18"/>
      <c r="F14" s="2">
        <v>10</v>
      </c>
      <c r="G14" s="4"/>
      <c r="H14" s="4"/>
      <c r="I14" s="1"/>
      <c r="J14" s="4"/>
      <c r="K14" s="4"/>
      <c r="L14" s="1"/>
      <c r="M14" s="4"/>
      <c r="N14" s="19"/>
      <c r="O14" s="1"/>
      <c r="P14" s="4"/>
      <c r="Q14" s="4"/>
      <c r="S14" s="4"/>
      <c r="T14" s="4"/>
      <c r="U14" s="1"/>
      <c r="V14" s="4"/>
      <c r="W14" s="4"/>
      <c r="X14" s="1"/>
      <c r="Y14" s="4"/>
      <c r="Z14" s="19"/>
      <c r="AA14" s="1"/>
      <c r="AB14" s="4"/>
      <c r="AC14" s="4"/>
      <c r="AE14" s="4"/>
      <c r="AF14" s="4"/>
      <c r="AG14" s="1"/>
      <c r="AH14" s="4"/>
      <c r="AI14" s="4"/>
      <c r="AJ14" s="1"/>
      <c r="AK14" s="4"/>
      <c r="AL14" s="19"/>
      <c r="AM14" s="1"/>
      <c r="AN14" s="4"/>
      <c r="AO14" s="4"/>
      <c r="AQ14" s="4"/>
      <c r="AR14" s="4"/>
      <c r="AS14" s="1"/>
      <c r="AT14" s="4"/>
      <c r="AU14" s="4"/>
      <c r="AV14" s="1"/>
      <c r="AW14" s="4"/>
      <c r="AX14" s="19"/>
      <c r="AY14" s="1"/>
      <c r="AZ14" s="4"/>
      <c r="BA14" s="4"/>
    </row>
    <row r="15" spans="1:53" x14ac:dyDescent="0.25">
      <c r="A15" s="17">
        <v>13</v>
      </c>
      <c r="B15" s="17" t="s">
        <v>44</v>
      </c>
      <c r="C15" s="17">
        <v>270</v>
      </c>
      <c r="D15" s="18"/>
      <c r="F15" s="2">
        <v>11</v>
      </c>
      <c r="G15" s="4"/>
      <c r="H15" s="4"/>
      <c r="I15" s="1"/>
      <c r="J15" s="4"/>
      <c r="K15" s="4"/>
      <c r="L15" s="1"/>
      <c r="M15" s="4"/>
      <c r="N15" s="19"/>
      <c r="O15" s="1"/>
      <c r="P15" s="4"/>
      <c r="Q15" s="4"/>
      <c r="S15" s="4"/>
      <c r="T15" s="4"/>
      <c r="U15" s="1"/>
      <c r="V15" s="4"/>
      <c r="W15" s="4"/>
      <c r="X15" s="1"/>
      <c r="Y15" s="4"/>
      <c r="Z15" s="19"/>
      <c r="AA15" s="1"/>
      <c r="AB15" s="4"/>
      <c r="AC15" s="4"/>
      <c r="AE15" s="4"/>
      <c r="AF15" s="4"/>
      <c r="AG15" s="1"/>
      <c r="AH15" s="4"/>
      <c r="AI15" s="4"/>
      <c r="AJ15" s="1"/>
      <c r="AK15" s="4"/>
      <c r="AL15" s="19"/>
      <c r="AM15" s="1"/>
      <c r="AN15" s="4"/>
      <c r="AO15" s="4"/>
      <c r="AQ15" s="4"/>
      <c r="AR15" s="4"/>
      <c r="AS15" s="1"/>
      <c r="AT15" s="4"/>
      <c r="AU15" s="4"/>
      <c r="AV15" s="1"/>
      <c r="AW15" s="4"/>
      <c r="AX15" s="19"/>
      <c r="AY15" s="1"/>
      <c r="AZ15" s="4"/>
      <c r="BA15" s="4"/>
    </row>
    <row r="16" spans="1:53" x14ac:dyDescent="0.25">
      <c r="A16" s="17">
        <v>14</v>
      </c>
      <c r="B16" s="17" t="s">
        <v>45</v>
      </c>
      <c r="C16" s="17">
        <v>292.5</v>
      </c>
      <c r="D16" s="18">
        <v>0.35</v>
      </c>
      <c r="F16" s="2">
        <v>12</v>
      </c>
      <c r="G16" s="4"/>
      <c r="H16" s="4"/>
      <c r="I16" s="1"/>
      <c r="J16" s="4"/>
      <c r="K16" s="4"/>
      <c r="L16" s="1"/>
      <c r="M16" s="4"/>
      <c r="N16" s="19"/>
      <c r="O16" s="1"/>
      <c r="P16" s="4"/>
      <c r="Q16" s="4"/>
      <c r="S16" s="4"/>
      <c r="T16" s="4"/>
      <c r="U16" s="1"/>
      <c r="V16" s="4"/>
      <c r="W16" s="4"/>
      <c r="X16" s="1"/>
      <c r="Y16" s="4"/>
      <c r="Z16" s="19"/>
      <c r="AA16" s="1"/>
      <c r="AB16" s="4"/>
      <c r="AC16" s="4"/>
      <c r="AE16" s="4"/>
      <c r="AF16" s="4"/>
      <c r="AG16" s="1"/>
      <c r="AH16" s="4"/>
      <c r="AI16" s="4"/>
      <c r="AJ16" s="1"/>
      <c r="AK16" s="4"/>
      <c r="AL16" s="19"/>
      <c r="AM16" s="1"/>
      <c r="AN16" s="4"/>
      <c r="AO16" s="4"/>
      <c r="AQ16" s="4"/>
      <c r="AR16" s="4"/>
      <c r="AS16" s="1"/>
      <c r="AT16" s="4"/>
      <c r="AU16" s="4"/>
      <c r="AV16" s="1"/>
      <c r="AW16" s="4"/>
      <c r="AX16" s="19"/>
      <c r="AY16" s="1"/>
      <c r="AZ16" s="4"/>
      <c r="BA16" s="4"/>
    </row>
    <row r="17" spans="1:53" x14ac:dyDescent="0.25">
      <c r="A17" s="17">
        <v>15</v>
      </c>
      <c r="B17" s="17" t="s">
        <v>46</v>
      </c>
      <c r="C17" s="17">
        <v>315</v>
      </c>
      <c r="D17" s="18"/>
      <c r="F17" s="2">
        <v>13</v>
      </c>
      <c r="G17" s="4"/>
      <c r="H17" s="4"/>
      <c r="I17" s="1"/>
      <c r="J17" s="4"/>
      <c r="K17" s="4"/>
      <c r="L17" s="1"/>
      <c r="M17" s="4"/>
      <c r="N17" s="19"/>
      <c r="O17" s="1"/>
      <c r="P17" s="4"/>
      <c r="Q17" s="4"/>
      <c r="S17" s="4"/>
      <c r="T17" s="4"/>
      <c r="U17" s="1"/>
      <c r="V17" s="4"/>
      <c r="W17" s="4"/>
      <c r="X17" s="1"/>
      <c r="Y17" s="4"/>
      <c r="Z17" s="19"/>
      <c r="AA17" s="1"/>
      <c r="AB17" s="4"/>
      <c r="AC17" s="4"/>
      <c r="AE17" s="4"/>
      <c r="AF17" s="4"/>
      <c r="AG17" s="1"/>
      <c r="AH17" s="4"/>
      <c r="AI17" s="4"/>
      <c r="AJ17" s="1"/>
      <c r="AK17" s="4"/>
      <c r="AL17" s="19"/>
      <c r="AM17" s="1"/>
      <c r="AN17" s="4"/>
      <c r="AO17" s="4"/>
      <c r="AQ17" s="4"/>
      <c r="AR17" s="4"/>
      <c r="AS17" s="1"/>
      <c r="AT17" s="4"/>
      <c r="AU17" s="4"/>
      <c r="AV17" s="1"/>
      <c r="AW17" s="4"/>
      <c r="AX17" s="19"/>
      <c r="AY17" s="1"/>
      <c r="AZ17" s="4"/>
      <c r="BA17" s="4"/>
    </row>
    <row r="18" spans="1:53" x14ac:dyDescent="0.25">
      <c r="A18" s="17">
        <v>16</v>
      </c>
      <c r="B18" s="17" t="s">
        <v>47</v>
      </c>
      <c r="C18" s="17">
        <v>337.5</v>
      </c>
      <c r="D18" s="18"/>
      <c r="F18" s="2">
        <v>14</v>
      </c>
      <c r="G18" s="4"/>
      <c r="H18" s="4"/>
      <c r="I18" s="1"/>
      <c r="J18" s="4"/>
      <c r="K18" s="4"/>
      <c r="L18" s="1"/>
      <c r="M18" s="4"/>
      <c r="N18" s="19"/>
      <c r="O18" s="1"/>
      <c r="P18" s="4"/>
      <c r="Q18" s="4"/>
      <c r="S18" s="4"/>
      <c r="T18" s="4"/>
      <c r="U18" s="1"/>
      <c r="V18" s="4"/>
      <c r="W18" s="4"/>
      <c r="X18" s="1"/>
      <c r="Y18" s="4"/>
      <c r="Z18" s="19"/>
      <c r="AA18" s="1"/>
      <c r="AB18" s="4"/>
      <c r="AC18" s="4"/>
      <c r="AE18" s="4"/>
      <c r="AF18" s="4"/>
      <c r="AG18" s="1"/>
      <c r="AH18" s="4"/>
      <c r="AI18" s="4"/>
      <c r="AJ18" s="1"/>
      <c r="AK18" s="4"/>
      <c r="AL18" s="19"/>
      <c r="AM18" s="1"/>
      <c r="AN18" s="4"/>
      <c r="AO18" s="4"/>
      <c r="AQ18" s="4"/>
      <c r="AR18" s="4"/>
      <c r="AS18" s="1"/>
      <c r="AT18" s="4"/>
      <c r="AU18" s="4"/>
      <c r="AV18" s="1"/>
      <c r="AW18" s="4"/>
      <c r="AX18" s="19"/>
      <c r="AY18" s="1"/>
      <c r="AZ18" s="4"/>
      <c r="BA18" s="4"/>
    </row>
    <row r="19" spans="1:53" x14ac:dyDescent="0.25">
      <c r="F19" s="2">
        <v>15</v>
      </c>
      <c r="G19" s="4"/>
      <c r="H19" s="4"/>
      <c r="I19" s="1"/>
      <c r="J19" s="4"/>
      <c r="K19" s="4"/>
      <c r="L19" s="1"/>
      <c r="M19" s="4"/>
      <c r="N19" s="19"/>
      <c r="O19" s="1"/>
      <c r="P19" s="4"/>
      <c r="Q19" s="4"/>
      <c r="S19" s="4"/>
      <c r="T19" s="4"/>
      <c r="U19" s="1"/>
      <c r="V19" s="4"/>
      <c r="W19" s="4"/>
      <c r="X19" s="1"/>
      <c r="Y19" s="4"/>
      <c r="Z19" s="19"/>
      <c r="AA19" s="1"/>
      <c r="AB19" s="4"/>
      <c r="AC19" s="4"/>
      <c r="AE19" s="4"/>
      <c r="AF19" s="4"/>
      <c r="AG19" s="1"/>
      <c r="AH19" s="4"/>
      <c r="AI19" s="4"/>
      <c r="AJ19" s="1"/>
      <c r="AK19" s="4"/>
      <c r="AL19" s="19"/>
      <c r="AM19" s="1"/>
      <c r="AN19" s="4"/>
      <c r="AO19" s="4"/>
      <c r="AQ19" s="4"/>
      <c r="AR19" s="4"/>
      <c r="AS19" s="1"/>
      <c r="AT19" s="4"/>
      <c r="AU19" s="4"/>
      <c r="AV19" s="1"/>
      <c r="AW19" s="4"/>
      <c r="AX19" s="19"/>
      <c r="AY19" s="1"/>
      <c r="AZ19" s="4"/>
      <c r="BA19" s="4"/>
    </row>
    <row r="20" spans="1:53" x14ac:dyDescent="0.25">
      <c r="F20" s="2">
        <v>16</v>
      </c>
      <c r="G20" s="4"/>
      <c r="H20" s="4"/>
      <c r="I20" s="1"/>
      <c r="J20" s="4"/>
      <c r="K20" s="4"/>
      <c r="L20" s="1"/>
      <c r="M20" s="4"/>
      <c r="N20" s="19"/>
      <c r="O20" s="1"/>
      <c r="P20" s="4"/>
      <c r="Q20" s="4"/>
      <c r="S20" s="4"/>
      <c r="T20" s="4"/>
      <c r="U20" s="1"/>
      <c r="V20" s="4"/>
      <c r="W20" s="4"/>
      <c r="X20" s="1"/>
      <c r="Y20" s="4"/>
      <c r="Z20" s="19"/>
      <c r="AA20" s="1"/>
      <c r="AB20" s="4"/>
      <c r="AC20" s="4"/>
      <c r="AE20" s="4"/>
      <c r="AF20" s="4"/>
      <c r="AG20" s="1"/>
      <c r="AH20" s="4"/>
      <c r="AI20" s="4"/>
      <c r="AJ20" s="1"/>
      <c r="AK20" s="4"/>
      <c r="AL20" s="19"/>
      <c r="AM20" s="1"/>
      <c r="AN20" s="4"/>
      <c r="AO20" s="4"/>
      <c r="AQ20" s="4"/>
      <c r="AR20" s="4"/>
      <c r="AS20" s="1"/>
      <c r="AT20" s="4"/>
      <c r="AU20" s="4"/>
      <c r="AV20" s="1"/>
      <c r="AW20" s="4"/>
      <c r="AX20" s="19"/>
      <c r="AY20" s="1"/>
      <c r="AZ20" s="4"/>
      <c r="BA20" s="4"/>
    </row>
    <row r="21" spans="1:53" x14ac:dyDescent="0.25">
      <c r="F21" s="2">
        <v>17</v>
      </c>
      <c r="G21" s="4"/>
      <c r="H21" s="4"/>
      <c r="I21" s="1"/>
      <c r="J21" s="4"/>
      <c r="K21" s="4"/>
      <c r="L21" s="1"/>
      <c r="M21" s="4"/>
      <c r="N21" s="19"/>
      <c r="O21" s="1"/>
      <c r="P21" s="4"/>
      <c r="Q21" s="4"/>
      <c r="S21" s="4"/>
      <c r="T21" s="4"/>
      <c r="U21" s="1"/>
      <c r="V21" s="4"/>
      <c r="W21" s="4"/>
      <c r="X21" s="1"/>
      <c r="Y21" s="4"/>
      <c r="Z21" s="19"/>
      <c r="AA21" s="1"/>
      <c r="AB21" s="4"/>
      <c r="AC21" s="4"/>
      <c r="AE21" s="4"/>
      <c r="AF21" s="4"/>
      <c r="AG21" s="1"/>
      <c r="AH21" s="4"/>
      <c r="AI21" s="4"/>
      <c r="AJ21" s="1"/>
      <c r="AK21" s="4"/>
      <c r="AL21" s="19"/>
      <c r="AM21" s="1"/>
      <c r="AN21" s="4"/>
      <c r="AO21" s="4"/>
      <c r="AQ21" s="4"/>
      <c r="AR21" s="4"/>
      <c r="AS21" s="1"/>
      <c r="AT21" s="4"/>
      <c r="AU21" s="4"/>
      <c r="AV21" s="1"/>
      <c r="AW21" s="4"/>
      <c r="AX21" s="19"/>
      <c r="AY21" s="1"/>
      <c r="AZ21" s="4"/>
      <c r="BA21" s="4"/>
    </row>
    <row r="22" spans="1:53" x14ac:dyDescent="0.25">
      <c r="F22" s="2">
        <v>18</v>
      </c>
      <c r="G22" s="4"/>
      <c r="H22" s="4"/>
      <c r="I22" s="1"/>
      <c r="J22" s="4"/>
      <c r="K22" s="4"/>
      <c r="L22" s="1"/>
      <c r="M22" s="4"/>
      <c r="N22" s="19"/>
      <c r="O22" s="1"/>
      <c r="P22" s="4"/>
      <c r="Q22" s="4"/>
      <c r="S22" s="4"/>
      <c r="T22" s="4"/>
      <c r="U22" s="1"/>
      <c r="V22" s="4"/>
      <c r="W22" s="4"/>
      <c r="X22" s="1"/>
      <c r="Y22" s="4"/>
      <c r="Z22" s="19"/>
      <c r="AA22" s="1"/>
      <c r="AB22" s="4"/>
      <c r="AC22" s="4"/>
      <c r="AE22" s="4"/>
      <c r="AF22" s="4"/>
      <c r="AG22" s="1"/>
      <c r="AH22" s="4"/>
      <c r="AI22" s="4"/>
      <c r="AJ22" s="1"/>
      <c r="AK22" s="4"/>
      <c r="AL22" s="19"/>
      <c r="AM22" s="1"/>
      <c r="AN22" s="4"/>
      <c r="AO22" s="4"/>
      <c r="AQ22" s="4"/>
      <c r="AR22" s="4"/>
      <c r="AS22" s="1"/>
      <c r="AT22" s="4"/>
      <c r="AU22" s="4"/>
      <c r="AV22" s="1"/>
      <c r="AW22" s="4"/>
      <c r="AX22" s="19"/>
      <c r="AY22" s="1"/>
      <c r="AZ22" s="4"/>
      <c r="BA22" s="4"/>
    </row>
    <row r="23" spans="1:53" x14ac:dyDescent="0.25">
      <c r="F23" s="2">
        <v>19</v>
      </c>
      <c r="G23" s="4"/>
      <c r="H23" s="4"/>
      <c r="I23" s="1"/>
      <c r="J23" s="4"/>
      <c r="K23" s="4"/>
      <c r="L23" s="1"/>
      <c r="M23" s="4"/>
      <c r="N23" s="19"/>
      <c r="O23" s="1"/>
      <c r="P23" s="4"/>
      <c r="Q23" s="4"/>
      <c r="S23" s="4"/>
      <c r="T23" s="4"/>
      <c r="U23" s="1"/>
      <c r="V23" s="4"/>
      <c r="W23" s="4"/>
      <c r="X23" s="1"/>
      <c r="Y23" s="4"/>
      <c r="Z23" s="19"/>
      <c r="AA23" s="1"/>
      <c r="AB23" s="4"/>
      <c r="AC23" s="4"/>
      <c r="AE23" s="4"/>
      <c r="AF23" s="4"/>
      <c r="AG23" s="1"/>
      <c r="AH23" s="4"/>
      <c r="AI23" s="4"/>
      <c r="AJ23" s="1"/>
      <c r="AK23" s="4"/>
      <c r="AL23" s="19"/>
      <c r="AM23" s="1"/>
      <c r="AN23" s="4"/>
      <c r="AO23" s="4"/>
      <c r="AQ23" s="4"/>
      <c r="AR23" s="4"/>
      <c r="AS23" s="1"/>
      <c r="AT23" s="4"/>
      <c r="AU23" s="4"/>
      <c r="AV23" s="1"/>
      <c r="AW23" s="4"/>
      <c r="AX23" s="19"/>
      <c r="AY23" s="1"/>
      <c r="AZ23" s="4"/>
      <c r="BA23" s="4"/>
    </row>
    <row r="24" spans="1:53" x14ac:dyDescent="0.25">
      <c r="F24" s="2">
        <v>20</v>
      </c>
      <c r="G24" s="4"/>
      <c r="H24" s="4"/>
      <c r="I24" s="6"/>
      <c r="J24" s="4"/>
      <c r="K24" s="4"/>
      <c r="L24" s="6"/>
      <c r="M24" s="4"/>
      <c r="N24" s="19"/>
      <c r="O24" s="6"/>
      <c r="P24" s="4"/>
      <c r="Q24" s="4"/>
      <c r="S24" s="4"/>
      <c r="T24" s="4"/>
      <c r="U24" s="6"/>
      <c r="V24" s="4"/>
      <c r="W24" s="4"/>
      <c r="X24" s="6"/>
      <c r="Y24" s="4"/>
      <c r="Z24" s="19"/>
      <c r="AA24" s="6"/>
      <c r="AB24" s="4"/>
      <c r="AC24" s="4"/>
      <c r="AE24" s="4"/>
      <c r="AF24" s="4"/>
      <c r="AG24" s="6"/>
      <c r="AH24" s="4"/>
      <c r="AI24" s="4"/>
      <c r="AJ24" s="6"/>
      <c r="AK24" s="4"/>
      <c r="AL24" s="19"/>
      <c r="AM24" s="6"/>
      <c r="AN24" s="4"/>
      <c r="AO24" s="4"/>
      <c r="AQ24" s="4"/>
      <c r="AR24" s="4"/>
      <c r="AS24" s="6"/>
      <c r="AT24" s="4"/>
      <c r="AU24" s="4"/>
      <c r="AV24" s="6"/>
      <c r="AW24" s="4"/>
      <c r="AX24" s="19"/>
      <c r="AY24" s="6"/>
      <c r="AZ24" s="4"/>
      <c r="BA24" s="4"/>
    </row>
    <row r="25" spans="1:53" x14ac:dyDescent="0.25">
      <c r="F25" s="2">
        <v>21</v>
      </c>
      <c r="G25" s="4"/>
      <c r="H25" s="4"/>
      <c r="I25" s="6"/>
      <c r="J25" s="4"/>
      <c r="K25" s="4"/>
      <c r="L25" s="6"/>
      <c r="M25" s="4"/>
      <c r="N25" s="19"/>
      <c r="O25" s="6"/>
      <c r="P25" s="4"/>
      <c r="Q25" s="4"/>
      <c r="S25" s="4"/>
      <c r="T25" s="4"/>
      <c r="U25" s="6"/>
      <c r="V25" s="4"/>
      <c r="W25" s="4"/>
      <c r="X25" s="6"/>
      <c r="Y25" s="4"/>
      <c r="Z25" s="19"/>
      <c r="AA25" s="6"/>
      <c r="AB25" s="4"/>
      <c r="AC25" s="4"/>
      <c r="AE25" s="4"/>
      <c r="AF25" s="4"/>
      <c r="AG25" s="6"/>
      <c r="AH25" s="4"/>
      <c r="AI25" s="4"/>
      <c r="AJ25" s="6"/>
      <c r="AK25" s="4"/>
      <c r="AL25" s="19"/>
      <c r="AM25" s="6"/>
      <c r="AN25" s="4"/>
      <c r="AO25" s="4"/>
      <c r="AQ25" s="4"/>
      <c r="AR25" s="4"/>
      <c r="AS25" s="6"/>
      <c r="AT25" s="4"/>
      <c r="AU25" s="4"/>
      <c r="AV25" s="6"/>
      <c r="AW25" s="4"/>
      <c r="AX25" s="19"/>
      <c r="AY25" s="6"/>
      <c r="AZ25" s="4"/>
      <c r="BA25" s="4"/>
    </row>
    <row r="30" spans="1:53" x14ac:dyDescent="0.25">
      <c r="B30">
        <v>7.2</v>
      </c>
      <c r="H30">
        <v>0.52</v>
      </c>
      <c r="K30">
        <v>0.51</v>
      </c>
      <c r="N30">
        <v>0.36</v>
      </c>
      <c r="Q30">
        <v>0.35</v>
      </c>
      <c r="T30">
        <v>0.28999999999999998</v>
      </c>
      <c r="W30">
        <v>0.24</v>
      </c>
      <c r="Z30">
        <v>0.27</v>
      </c>
      <c r="AC30">
        <v>0.43</v>
      </c>
      <c r="AF30">
        <v>0.36</v>
      </c>
      <c r="AI30">
        <v>0.38</v>
      </c>
      <c r="AL30">
        <v>0.42</v>
      </c>
      <c r="AO30">
        <v>0.51</v>
      </c>
      <c r="AR30">
        <v>0.32</v>
      </c>
      <c r="AU30">
        <v>0.37</v>
      </c>
      <c r="AX30">
        <v>0.36</v>
      </c>
      <c r="BA30">
        <v>0.4</v>
      </c>
    </row>
    <row r="31" spans="1:53" x14ac:dyDescent="0.25">
      <c r="H31">
        <v>0.59</v>
      </c>
      <c r="K31">
        <v>0.54</v>
      </c>
      <c r="N31">
        <v>0.39</v>
      </c>
      <c r="Q31">
        <v>0.38</v>
      </c>
      <c r="T31">
        <v>0.3</v>
      </c>
      <c r="W31">
        <v>0.24</v>
      </c>
      <c r="Z31">
        <v>0.3</v>
      </c>
      <c r="AC31">
        <v>0.5</v>
      </c>
      <c r="AF31">
        <v>0.36</v>
      </c>
      <c r="AI31">
        <v>0.42</v>
      </c>
      <c r="AL31">
        <v>0.44</v>
      </c>
      <c r="AO31">
        <v>0.57999999999999996</v>
      </c>
      <c r="AR31">
        <v>0.35</v>
      </c>
      <c r="AU31">
        <v>0.41</v>
      </c>
      <c r="AX31">
        <v>0.39</v>
      </c>
      <c r="BA31">
        <v>0.43</v>
      </c>
    </row>
    <row r="32" spans="1:53" x14ac:dyDescent="0.25">
      <c r="H32">
        <v>0.66</v>
      </c>
      <c r="K32">
        <v>0.57999999999999996</v>
      </c>
      <c r="N32">
        <v>0.43</v>
      </c>
      <c r="Q32">
        <v>0.4</v>
      </c>
      <c r="T32">
        <v>0.33</v>
      </c>
      <c r="W32">
        <v>0.26</v>
      </c>
      <c r="Z32">
        <v>0.34</v>
      </c>
      <c r="AC32">
        <v>0.57999999999999996</v>
      </c>
      <c r="AF32">
        <v>0.36</v>
      </c>
      <c r="AI32">
        <v>0.47</v>
      </c>
      <c r="AL32">
        <v>0.47</v>
      </c>
      <c r="AO32">
        <v>0.62</v>
      </c>
      <c r="AR32">
        <v>0.37</v>
      </c>
      <c r="AU32">
        <v>0.45</v>
      </c>
      <c r="AX32">
        <v>0.43</v>
      </c>
      <c r="BA32">
        <v>0.45</v>
      </c>
    </row>
    <row r="33" spans="8:53" x14ac:dyDescent="0.25">
      <c r="H33">
        <v>0.7</v>
      </c>
      <c r="K33">
        <v>0.62</v>
      </c>
      <c r="N33">
        <v>0.47</v>
      </c>
      <c r="Q33">
        <v>0.4</v>
      </c>
      <c r="T33">
        <v>0.36</v>
      </c>
      <c r="W33">
        <v>0.27</v>
      </c>
      <c r="Z33">
        <v>0.39</v>
      </c>
      <c r="AC33">
        <v>0.65</v>
      </c>
      <c r="AF33">
        <v>0.37</v>
      </c>
      <c r="AI33">
        <v>0.52</v>
      </c>
      <c r="AL33">
        <v>0.5</v>
      </c>
      <c r="AO33">
        <v>0.66</v>
      </c>
      <c r="AR33">
        <v>0.4</v>
      </c>
      <c r="AU33">
        <v>0.51</v>
      </c>
      <c r="AX33">
        <v>0.47</v>
      </c>
      <c r="BA33">
        <v>0.46</v>
      </c>
    </row>
    <row r="34" spans="8:53" x14ac:dyDescent="0.25">
      <c r="H34">
        <v>0.78</v>
      </c>
      <c r="K34">
        <v>0.67</v>
      </c>
      <c r="N34">
        <v>0.55000000000000004</v>
      </c>
      <c r="Q34">
        <v>0.43</v>
      </c>
      <c r="T34">
        <v>0.4</v>
      </c>
      <c r="W34">
        <v>0.31</v>
      </c>
      <c r="Z34">
        <v>0.46</v>
      </c>
      <c r="AC34">
        <v>0.76</v>
      </c>
      <c r="AF34">
        <v>0.5</v>
      </c>
      <c r="AI34">
        <v>0.61</v>
      </c>
      <c r="AL34">
        <v>0.59</v>
      </c>
      <c r="AO34">
        <v>0.71</v>
      </c>
      <c r="AR34">
        <v>0.44</v>
      </c>
      <c r="AU34">
        <v>0.61</v>
      </c>
      <c r="AX34">
        <v>0.53</v>
      </c>
      <c r="BA34">
        <v>0.5</v>
      </c>
    </row>
    <row r="35" spans="8:53" x14ac:dyDescent="0.25">
      <c r="H35">
        <v>0.83</v>
      </c>
      <c r="K35">
        <v>0.73</v>
      </c>
      <c r="N35">
        <v>0.62</v>
      </c>
      <c r="Q35">
        <v>0.46</v>
      </c>
      <c r="T35">
        <v>0.45</v>
      </c>
      <c r="W35">
        <v>0.35</v>
      </c>
      <c r="Z35">
        <v>0.56000000000000005</v>
      </c>
      <c r="AC35">
        <v>0.81</v>
      </c>
      <c r="AF35">
        <v>0.66</v>
      </c>
      <c r="AI35">
        <v>0.7</v>
      </c>
      <c r="AL35">
        <v>0.7</v>
      </c>
      <c r="AO35">
        <v>0.71</v>
      </c>
      <c r="AR35">
        <v>0.47</v>
      </c>
      <c r="AU35">
        <v>0.69</v>
      </c>
      <c r="AX35">
        <v>0.59</v>
      </c>
      <c r="BA35">
        <v>0.55000000000000004</v>
      </c>
    </row>
    <row r="36" spans="8:53" x14ac:dyDescent="0.25">
      <c r="H36">
        <v>0.87</v>
      </c>
      <c r="K36">
        <v>0.82</v>
      </c>
      <c r="N36">
        <v>0.76</v>
      </c>
      <c r="Q36">
        <v>0.5</v>
      </c>
      <c r="T36">
        <v>0.5</v>
      </c>
      <c r="W36">
        <v>0.45</v>
      </c>
      <c r="Z36">
        <v>0.69</v>
      </c>
      <c r="AC36">
        <v>0.86</v>
      </c>
      <c r="AF36">
        <v>0.86</v>
      </c>
      <c r="AI36">
        <v>0.83</v>
      </c>
      <c r="AL36">
        <v>0.83</v>
      </c>
      <c r="AO36">
        <v>0.68</v>
      </c>
      <c r="AR36">
        <v>0.51</v>
      </c>
      <c r="AU36">
        <v>0.8</v>
      </c>
      <c r="AX36">
        <v>0.7</v>
      </c>
      <c r="BA36">
        <v>0.65</v>
      </c>
    </row>
    <row r="37" spans="8:53" x14ac:dyDescent="0.25">
      <c r="H37">
        <v>0.92</v>
      </c>
      <c r="K37">
        <v>0.89</v>
      </c>
      <c r="N37">
        <v>0.82</v>
      </c>
      <c r="Q37">
        <v>0.52</v>
      </c>
      <c r="T37">
        <v>0.62</v>
      </c>
      <c r="W37">
        <v>0.53</v>
      </c>
      <c r="Z37">
        <v>0.79</v>
      </c>
      <c r="AC37">
        <v>0.88</v>
      </c>
      <c r="AF37">
        <v>0.91</v>
      </c>
      <c r="AI37">
        <v>0.89</v>
      </c>
      <c r="AL37">
        <v>0.89</v>
      </c>
      <c r="AO37">
        <v>0.66</v>
      </c>
      <c r="AR37">
        <v>0.55000000000000004</v>
      </c>
      <c r="AU37">
        <v>0.86</v>
      </c>
      <c r="AX37">
        <v>0.82</v>
      </c>
      <c r="BA37">
        <v>0.75</v>
      </c>
    </row>
    <row r="38" spans="8:53" x14ac:dyDescent="0.25">
      <c r="H38">
        <v>0.95</v>
      </c>
      <c r="K38">
        <v>0.93</v>
      </c>
      <c r="N38">
        <v>0.89</v>
      </c>
      <c r="Q38">
        <v>0.56000000000000005</v>
      </c>
      <c r="T38">
        <v>0.73</v>
      </c>
      <c r="W38">
        <v>0.65</v>
      </c>
      <c r="Z38">
        <v>0.84</v>
      </c>
      <c r="AC38">
        <v>0.92</v>
      </c>
      <c r="AF38">
        <v>0.93</v>
      </c>
      <c r="AI38">
        <v>0.91</v>
      </c>
      <c r="AL38">
        <v>0.9</v>
      </c>
      <c r="AO38">
        <v>0.71</v>
      </c>
      <c r="AR38">
        <v>0.61</v>
      </c>
      <c r="AU38">
        <v>0.88</v>
      </c>
      <c r="AX38">
        <v>0.88</v>
      </c>
      <c r="BA38">
        <v>0.84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2_Button1_Click">
                <anchor moveWithCells="1" sizeWithCells="1">
                  <from>
                    <xdr:col>0</xdr:col>
                    <xdr:colOff>647700</xdr:colOff>
                    <xdr:row>21</xdr:row>
                    <xdr:rowOff>9525</xdr:rowOff>
                  </from>
                  <to>
                    <xdr:col>2</xdr:col>
                    <xdr:colOff>657225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5"/>
  <sheetViews>
    <sheetView topLeftCell="A111" workbookViewId="0">
      <selection activeCell="A126" sqref="A126"/>
    </sheetView>
  </sheetViews>
  <sheetFormatPr defaultRowHeight="15.7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4" spans="1:1" x14ac:dyDescent="0.25">
      <c r="A4" t="s">
        <v>50</v>
      </c>
    </row>
    <row r="6" spans="1:1" x14ac:dyDescent="0.25">
      <c r="A6" t="s">
        <v>51</v>
      </c>
    </row>
    <row r="7" spans="1:1" x14ac:dyDescent="0.25">
      <c r="A7" t="s">
        <v>52</v>
      </c>
    </row>
    <row r="8" spans="1:1" x14ac:dyDescent="0.25">
      <c r="A8" t="s">
        <v>53</v>
      </c>
    </row>
    <row r="9" spans="1:1" x14ac:dyDescent="0.25">
      <c r="A9" t="s">
        <v>54</v>
      </c>
    </row>
    <row r="11" spans="1:1" x14ac:dyDescent="0.25">
      <c r="A11" t="s">
        <v>154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8" spans="1:2" x14ac:dyDescent="0.25">
      <c r="A18" t="s">
        <v>59</v>
      </c>
    </row>
    <row r="19" spans="1:2" x14ac:dyDescent="0.25">
      <c r="A19" t="s">
        <v>60</v>
      </c>
    </row>
    <row r="20" spans="1:2" x14ac:dyDescent="0.25">
      <c r="A20" t="s">
        <v>61</v>
      </c>
    </row>
    <row r="21" spans="1:2" x14ac:dyDescent="0.25">
      <c r="A21" t="s">
        <v>62</v>
      </c>
    </row>
    <row r="22" spans="1:2" x14ac:dyDescent="0.25">
      <c r="A22" t="s">
        <v>63</v>
      </c>
    </row>
    <row r="23" spans="1:2" x14ac:dyDescent="0.25">
      <c r="A23" t="s">
        <v>64</v>
      </c>
    </row>
    <row r="24" spans="1:2" x14ac:dyDescent="0.25">
      <c r="A24" t="s">
        <v>65</v>
      </c>
    </row>
    <row r="25" spans="1:2" x14ac:dyDescent="0.25">
      <c r="A25" t="s">
        <v>66</v>
      </c>
    </row>
    <row r="26" spans="1:2" x14ac:dyDescent="0.25">
      <c r="A26" t="s">
        <v>67</v>
      </c>
    </row>
    <row r="27" spans="1:2" x14ac:dyDescent="0.25">
      <c r="B27" t="s">
        <v>58</v>
      </c>
    </row>
    <row r="28" spans="1:2" x14ac:dyDescent="0.25">
      <c r="A28" t="s">
        <v>68</v>
      </c>
    </row>
    <row r="29" spans="1:2" x14ac:dyDescent="0.25">
      <c r="A29" t="s">
        <v>69</v>
      </c>
    </row>
    <row r="30" spans="1:2" x14ac:dyDescent="0.25">
      <c r="A30" t="s">
        <v>70</v>
      </c>
    </row>
    <row r="31" spans="1:2" x14ac:dyDescent="0.25">
      <c r="A31" t="s">
        <v>71</v>
      </c>
    </row>
    <row r="32" spans="1:2" x14ac:dyDescent="0.25">
      <c r="B32" t="s">
        <v>58</v>
      </c>
    </row>
    <row r="33" spans="1:2" x14ac:dyDescent="0.25">
      <c r="A33" t="s">
        <v>72</v>
      </c>
    </row>
    <row r="34" spans="1:2" x14ac:dyDescent="0.25">
      <c r="A34" t="s">
        <v>73</v>
      </c>
    </row>
    <row r="35" spans="1:2" x14ac:dyDescent="0.25">
      <c r="A35" t="s">
        <v>74</v>
      </c>
    </row>
    <row r="36" spans="1:2" x14ac:dyDescent="0.25">
      <c r="A36" t="s">
        <v>75</v>
      </c>
    </row>
    <row r="37" spans="1:2" x14ac:dyDescent="0.25">
      <c r="B37" t="s">
        <v>58</v>
      </c>
    </row>
    <row r="38" spans="1:2" x14ac:dyDescent="0.25">
      <c r="A38" t="s">
        <v>76</v>
      </c>
    </row>
    <row r="39" spans="1:2" x14ac:dyDescent="0.25">
      <c r="A39" t="s">
        <v>77</v>
      </c>
    </row>
    <row r="40" spans="1:2" x14ac:dyDescent="0.25">
      <c r="A40" t="s">
        <v>78</v>
      </c>
    </row>
    <row r="41" spans="1:2" x14ac:dyDescent="0.25">
      <c r="A41" t="s">
        <v>79</v>
      </c>
    </row>
    <row r="44" spans="1:2" x14ac:dyDescent="0.25">
      <c r="A44" t="s">
        <v>57</v>
      </c>
    </row>
    <row r="45" spans="1:2" x14ac:dyDescent="0.25">
      <c r="A45" t="s">
        <v>58</v>
      </c>
    </row>
    <row r="46" spans="1:2" x14ac:dyDescent="0.25">
      <c r="A46" t="s">
        <v>80</v>
      </c>
    </row>
    <row r="47" spans="1:2" x14ac:dyDescent="0.25">
      <c r="A47" t="s">
        <v>81</v>
      </c>
    </row>
    <row r="48" spans="1:2" x14ac:dyDescent="0.25">
      <c r="A48" t="s">
        <v>82</v>
      </c>
    </row>
    <row r="49" spans="1:2" x14ac:dyDescent="0.25">
      <c r="A49" t="s">
        <v>61</v>
      </c>
    </row>
    <row r="50" spans="1:2" x14ac:dyDescent="0.25">
      <c r="A50" t="s">
        <v>83</v>
      </c>
    </row>
    <row r="51" spans="1:2" x14ac:dyDescent="0.25">
      <c r="A51" t="s">
        <v>84</v>
      </c>
    </row>
    <row r="52" spans="1:2" x14ac:dyDescent="0.25">
      <c r="B52" t="s">
        <v>58</v>
      </c>
    </row>
    <row r="53" spans="1:2" x14ac:dyDescent="0.25">
      <c r="A53" t="s">
        <v>85</v>
      </c>
    </row>
    <row r="54" spans="1:2" x14ac:dyDescent="0.25">
      <c r="A54" t="s">
        <v>86</v>
      </c>
      <c r="B54" t="s">
        <v>58</v>
      </c>
    </row>
    <row r="56" spans="1:2" x14ac:dyDescent="0.25">
      <c r="A56" t="s">
        <v>87</v>
      </c>
    </row>
    <row r="57" spans="1:2" x14ac:dyDescent="0.25">
      <c r="A57" t="s">
        <v>88</v>
      </c>
    </row>
    <row r="60" spans="1:2" x14ac:dyDescent="0.25">
      <c r="A60" t="s">
        <v>89</v>
      </c>
    </row>
    <row r="61" spans="1:2" x14ac:dyDescent="0.25">
      <c r="A61" t="s">
        <v>90</v>
      </c>
    </row>
    <row r="62" spans="1:2" x14ac:dyDescent="0.25">
      <c r="A62" t="s">
        <v>91</v>
      </c>
    </row>
    <row r="64" spans="1:2" x14ac:dyDescent="0.25">
      <c r="A64" t="s">
        <v>57</v>
      </c>
    </row>
    <row r="65" spans="1:1" x14ac:dyDescent="0.25">
      <c r="A65" t="s">
        <v>58</v>
      </c>
    </row>
    <row r="66" spans="1:1" x14ac:dyDescent="0.25">
      <c r="A66" t="s">
        <v>92</v>
      </c>
    </row>
    <row r="67" spans="1:1" x14ac:dyDescent="0.25">
      <c r="A67" t="s">
        <v>81</v>
      </c>
    </row>
    <row r="68" spans="1:1" x14ac:dyDescent="0.25">
      <c r="A68" t="s">
        <v>93</v>
      </c>
    </row>
    <row r="69" spans="1:1" x14ac:dyDescent="0.25">
      <c r="A69" t="s">
        <v>94</v>
      </c>
    </row>
    <row r="70" spans="1:1" x14ac:dyDescent="0.25">
      <c r="A70" t="s">
        <v>95</v>
      </c>
    </row>
    <row r="71" spans="1:1" x14ac:dyDescent="0.25">
      <c r="A71" t="s">
        <v>96</v>
      </c>
    </row>
    <row r="72" spans="1:1" x14ac:dyDescent="0.25">
      <c r="A72" t="s">
        <v>97</v>
      </c>
    </row>
    <row r="73" spans="1:1" x14ac:dyDescent="0.25">
      <c r="A73" t="s">
        <v>98</v>
      </c>
    </row>
    <row r="74" spans="1:1" x14ac:dyDescent="0.25">
      <c r="A74" t="s">
        <v>99</v>
      </c>
    </row>
    <row r="75" spans="1:1" x14ac:dyDescent="0.25">
      <c r="A75" t="s">
        <v>100</v>
      </c>
    </row>
    <row r="76" spans="1:1" x14ac:dyDescent="0.25">
      <c r="A76" t="s">
        <v>101</v>
      </c>
    </row>
    <row r="77" spans="1:1" x14ac:dyDescent="0.25">
      <c r="A77" t="s">
        <v>102</v>
      </c>
    </row>
    <row r="78" spans="1:1" x14ac:dyDescent="0.25">
      <c r="A78" t="s">
        <v>103</v>
      </c>
    </row>
    <row r="79" spans="1:1" x14ac:dyDescent="0.25">
      <c r="A79" t="s">
        <v>104</v>
      </c>
    </row>
    <row r="80" spans="1:1" x14ac:dyDescent="0.25">
      <c r="A80" t="s">
        <v>95</v>
      </c>
    </row>
    <row r="81" spans="1:1" x14ac:dyDescent="0.25">
      <c r="A81" t="s">
        <v>105</v>
      </c>
    </row>
    <row r="82" spans="1:1" x14ac:dyDescent="0.25">
      <c r="A82" t="s">
        <v>97</v>
      </c>
    </row>
    <row r="83" spans="1:1" x14ac:dyDescent="0.25">
      <c r="A83" t="s">
        <v>106</v>
      </c>
    </row>
    <row r="84" spans="1:1" x14ac:dyDescent="0.25">
      <c r="A84" t="s">
        <v>99</v>
      </c>
    </row>
    <row r="85" spans="1:1" x14ac:dyDescent="0.25">
      <c r="A85" t="s">
        <v>107</v>
      </c>
    </row>
    <row r="86" spans="1:1" x14ac:dyDescent="0.25">
      <c r="A86" t="s">
        <v>101</v>
      </c>
    </row>
    <row r="87" spans="1:1" x14ac:dyDescent="0.25">
      <c r="A87" t="s">
        <v>108</v>
      </c>
    </row>
    <row r="88" spans="1:1" x14ac:dyDescent="0.25">
      <c r="A88" t="s">
        <v>109</v>
      </c>
    </row>
    <row r="89" spans="1:1" x14ac:dyDescent="0.25">
      <c r="A89" t="s">
        <v>94</v>
      </c>
    </row>
    <row r="90" spans="1:1" x14ac:dyDescent="0.25">
      <c r="A90" t="s">
        <v>100</v>
      </c>
    </row>
    <row r="91" spans="1:1" x14ac:dyDescent="0.25">
      <c r="A91" t="s">
        <v>96</v>
      </c>
    </row>
    <row r="92" spans="1:1" x14ac:dyDescent="0.25">
      <c r="A92" t="s">
        <v>102</v>
      </c>
    </row>
    <row r="93" spans="1:1" x14ac:dyDescent="0.25">
      <c r="A93" t="s">
        <v>110</v>
      </c>
    </row>
    <row r="94" spans="1:1" x14ac:dyDescent="0.25">
      <c r="A94" t="s">
        <v>104</v>
      </c>
    </row>
    <row r="95" spans="1:1" x14ac:dyDescent="0.25">
      <c r="A95" t="s">
        <v>100</v>
      </c>
    </row>
    <row r="96" spans="1:1" x14ac:dyDescent="0.25">
      <c r="A96" t="s">
        <v>105</v>
      </c>
    </row>
    <row r="97" spans="1:1" x14ac:dyDescent="0.25">
      <c r="A97" t="s">
        <v>102</v>
      </c>
    </row>
    <row r="98" spans="1:1" x14ac:dyDescent="0.25">
      <c r="A98" t="s">
        <v>111</v>
      </c>
    </row>
    <row r="99" spans="1:1" x14ac:dyDescent="0.25">
      <c r="A99" t="s">
        <v>104</v>
      </c>
    </row>
    <row r="100" spans="1:1" x14ac:dyDescent="0.25">
      <c r="A100" t="s">
        <v>107</v>
      </c>
    </row>
    <row r="101" spans="1:1" x14ac:dyDescent="0.25">
      <c r="A101" t="s">
        <v>105</v>
      </c>
    </row>
    <row r="102" spans="1:1" x14ac:dyDescent="0.25">
      <c r="A102" t="s">
        <v>108</v>
      </c>
    </row>
    <row r="103" spans="1:1" x14ac:dyDescent="0.25">
      <c r="A103" t="s">
        <v>112</v>
      </c>
    </row>
    <row r="104" spans="1:1" x14ac:dyDescent="0.25">
      <c r="A104" t="s">
        <v>94</v>
      </c>
    </row>
    <row r="105" spans="1:1" x14ac:dyDescent="0.25">
      <c r="A105" t="s">
        <v>107</v>
      </c>
    </row>
    <row r="106" spans="1:1" x14ac:dyDescent="0.25">
      <c r="A106" t="s">
        <v>96</v>
      </c>
    </row>
    <row r="107" spans="1:1" x14ac:dyDescent="0.25">
      <c r="A107" t="s">
        <v>108</v>
      </c>
    </row>
    <row r="108" spans="1:1" x14ac:dyDescent="0.25">
      <c r="A108" t="s">
        <v>113</v>
      </c>
    </row>
    <row r="109" spans="1:1" x14ac:dyDescent="0.25">
      <c r="A109" t="s">
        <v>57</v>
      </c>
    </row>
    <row r="110" spans="1:1" x14ac:dyDescent="0.25">
      <c r="A110" t="s">
        <v>58</v>
      </c>
    </row>
    <row r="112" spans="1:1" x14ac:dyDescent="0.25">
      <c r="A112" t="s">
        <v>114</v>
      </c>
    </row>
    <row r="113" spans="1:1" x14ac:dyDescent="0.25">
      <c r="A113" t="s">
        <v>115</v>
      </c>
    </row>
    <row r="114" spans="1:1" x14ac:dyDescent="0.25">
      <c r="A114" t="s">
        <v>116</v>
      </c>
    </row>
    <row r="115" spans="1:1" x14ac:dyDescent="0.25">
      <c r="A115" t="s">
        <v>117</v>
      </c>
    </row>
    <row r="117" spans="1:1" x14ac:dyDescent="0.25">
      <c r="A117" t="s">
        <v>118</v>
      </c>
    </row>
    <row r="118" spans="1:1" x14ac:dyDescent="0.25">
      <c r="A118" t="s">
        <v>119</v>
      </c>
    </row>
    <row r="120" spans="1:1" x14ac:dyDescent="0.25">
      <c r="A120" t="s">
        <v>120</v>
      </c>
    </row>
    <row r="121" spans="1:1" x14ac:dyDescent="0.25">
      <c r="A121" t="s">
        <v>121</v>
      </c>
    </row>
    <row r="122" spans="1:1" x14ac:dyDescent="0.25">
      <c r="A122" t="s">
        <v>122</v>
      </c>
    </row>
    <row r="123" spans="1:1" x14ac:dyDescent="0.25">
      <c r="A123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2" spans="1:1" x14ac:dyDescent="0.25">
      <c r="A132" t="s">
        <v>130</v>
      </c>
    </row>
    <row r="133" spans="1:1" x14ac:dyDescent="0.25">
      <c r="A133" t="s">
        <v>126</v>
      </c>
    </row>
    <row r="134" spans="1:1" x14ac:dyDescent="0.25">
      <c r="A134" t="s">
        <v>127</v>
      </c>
    </row>
    <row r="135" spans="1:1" x14ac:dyDescent="0.25">
      <c r="A135" t="s">
        <v>131</v>
      </c>
    </row>
    <row r="136" spans="1:1" x14ac:dyDescent="0.25">
      <c r="A136" t="s">
        <v>132</v>
      </c>
    </row>
    <row r="138" spans="1:1" x14ac:dyDescent="0.25">
      <c r="A138" t="s">
        <v>133</v>
      </c>
    </row>
    <row r="139" spans="1:1" x14ac:dyDescent="0.25">
      <c r="A139" t="s">
        <v>126</v>
      </c>
    </row>
    <row r="140" spans="1:1" x14ac:dyDescent="0.25">
      <c r="A140" t="s">
        <v>127</v>
      </c>
    </row>
    <row r="141" spans="1:1" x14ac:dyDescent="0.25">
      <c r="A141" t="s">
        <v>134</v>
      </c>
    </row>
    <row r="142" spans="1:1" x14ac:dyDescent="0.25">
      <c r="A142" t="s">
        <v>135</v>
      </c>
    </row>
    <row r="144" spans="1:1" x14ac:dyDescent="0.25">
      <c r="A144" t="s">
        <v>136</v>
      </c>
    </row>
    <row r="145" spans="1:2" x14ac:dyDescent="0.25">
      <c r="A145" t="s">
        <v>126</v>
      </c>
    </row>
    <row r="146" spans="1:2" x14ac:dyDescent="0.25">
      <c r="A146" t="s">
        <v>127</v>
      </c>
    </row>
    <row r="147" spans="1:2" x14ac:dyDescent="0.25">
      <c r="A147" t="s">
        <v>137</v>
      </c>
    </row>
    <row r="148" spans="1:2" x14ac:dyDescent="0.25">
      <c r="A148" t="s">
        <v>138</v>
      </c>
    </row>
    <row r="149" spans="1:2" x14ac:dyDescent="0.25">
      <c r="A149" t="s">
        <v>139</v>
      </c>
    </row>
    <row r="151" spans="1:2" x14ac:dyDescent="0.25">
      <c r="B151" t="s">
        <v>58</v>
      </c>
    </row>
    <row r="152" spans="1:2" x14ac:dyDescent="0.25">
      <c r="A152" t="s">
        <v>57</v>
      </c>
    </row>
    <row r="153" spans="1:2" x14ac:dyDescent="0.25">
      <c r="A153" t="s">
        <v>140</v>
      </c>
    </row>
    <row r="154" spans="1:2" x14ac:dyDescent="0.25">
      <c r="A154" t="s">
        <v>141</v>
      </c>
    </row>
    <row r="155" spans="1:2" x14ac:dyDescent="0.25">
      <c r="A155" t="s">
        <v>116</v>
      </c>
    </row>
    <row r="156" spans="1:2" x14ac:dyDescent="0.25">
      <c r="A156" t="s">
        <v>117</v>
      </c>
    </row>
    <row r="158" spans="1:2" x14ac:dyDescent="0.25">
      <c r="A158" t="s">
        <v>118</v>
      </c>
    </row>
    <row r="159" spans="1:2" x14ac:dyDescent="0.25">
      <c r="A159" t="s">
        <v>119</v>
      </c>
    </row>
    <row r="160" spans="1:2" x14ac:dyDescent="0.25">
      <c r="A160" t="s">
        <v>81</v>
      </c>
    </row>
    <row r="161" spans="1:1" x14ac:dyDescent="0.25">
      <c r="A161" t="s">
        <v>142</v>
      </c>
    </row>
    <row r="162" spans="1:1" x14ac:dyDescent="0.25">
      <c r="A162" t="s">
        <v>121</v>
      </c>
    </row>
    <row r="163" spans="1:1" x14ac:dyDescent="0.25">
      <c r="A163" t="s">
        <v>143</v>
      </c>
    </row>
    <row r="164" spans="1:1" x14ac:dyDescent="0.25">
      <c r="A164" t="s">
        <v>57</v>
      </c>
    </row>
    <row r="165" spans="1:1" x14ac:dyDescent="0.25">
      <c r="A165" t="s">
        <v>144</v>
      </c>
    </row>
    <row r="166" spans="1:1" x14ac:dyDescent="0.25">
      <c r="A166" t="s">
        <v>141</v>
      </c>
    </row>
    <row r="167" spans="1:1" x14ac:dyDescent="0.25">
      <c r="A167" t="s">
        <v>116</v>
      </c>
    </row>
    <row r="168" spans="1:1" x14ac:dyDescent="0.25">
      <c r="A168" t="s">
        <v>117</v>
      </c>
    </row>
    <row r="170" spans="1:1" x14ac:dyDescent="0.25">
      <c r="A170" t="s">
        <v>118</v>
      </c>
    </row>
    <row r="171" spans="1:1" x14ac:dyDescent="0.25">
      <c r="A171" t="s">
        <v>119</v>
      </c>
    </row>
    <row r="172" spans="1:1" x14ac:dyDescent="0.25">
      <c r="A172" t="s">
        <v>81</v>
      </c>
    </row>
    <row r="173" spans="1:1" x14ac:dyDescent="0.25">
      <c r="A173" t="s">
        <v>142</v>
      </c>
    </row>
    <row r="174" spans="1:1" x14ac:dyDescent="0.25">
      <c r="A174" t="s">
        <v>121</v>
      </c>
    </row>
    <row r="175" spans="1:1" x14ac:dyDescent="0.25">
      <c r="A175" t="s">
        <v>145</v>
      </c>
    </row>
    <row r="176" spans="1:1" x14ac:dyDescent="0.25">
      <c r="A176" t="s">
        <v>146</v>
      </c>
    </row>
    <row r="177" spans="1:1" x14ac:dyDescent="0.25">
      <c r="A177" t="s">
        <v>58</v>
      </c>
    </row>
    <row r="178" spans="1:1" x14ac:dyDescent="0.25">
      <c r="A178" t="s">
        <v>58</v>
      </c>
    </row>
    <row r="179" spans="1:1" x14ac:dyDescent="0.25">
      <c r="A179" t="s">
        <v>58</v>
      </c>
    </row>
    <row r="180" spans="1:1" x14ac:dyDescent="0.25">
      <c r="A180" t="s">
        <v>147</v>
      </c>
    </row>
    <row r="181" spans="1:1" x14ac:dyDescent="0.25">
      <c r="A181" t="s">
        <v>116</v>
      </c>
    </row>
    <row r="182" spans="1:1" x14ac:dyDescent="0.25">
      <c r="A182" t="s">
        <v>117</v>
      </c>
    </row>
    <row r="183" spans="1:1" x14ac:dyDescent="0.25">
      <c r="A183" t="s">
        <v>148</v>
      </c>
    </row>
    <row r="184" spans="1:1" x14ac:dyDescent="0.25">
      <c r="A184" t="s">
        <v>149</v>
      </c>
    </row>
    <row r="185" spans="1:1" x14ac:dyDescent="0.25">
      <c r="A185" t="s">
        <v>150</v>
      </c>
    </row>
    <row r="186" spans="1:1" x14ac:dyDescent="0.25">
      <c r="A186" t="s">
        <v>151</v>
      </c>
    </row>
    <row r="187" spans="1:1" x14ac:dyDescent="0.25">
      <c r="A187" t="s">
        <v>57</v>
      </c>
    </row>
    <row r="190" spans="1:1" x14ac:dyDescent="0.25">
      <c r="A190" t="s">
        <v>152</v>
      </c>
    </row>
    <row r="191" spans="1:1" x14ac:dyDescent="0.25">
      <c r="A191" t="s">
        <v>116</v>
      </c>
    </row>
    <row r="192" spans="1:1" x14ac:dyDescent="0.25">
      <c r="A192" t="s">
        <v>117</v>
      </c>
    </row>
    <row r="193" spans="1:1" x14ac:dyDescent="0.25">
      <c r="A193" t="s">
        <v>153</v>
      </c>
    </row>
    <row r="194" spans="1:1" x14ac:dyDescent="0.25">
      <c r="A194" t="s">
        <v>57</v>
      </c>
    </row>
    <row r="195" spans="1:1" x14ac:dyDescent="0.25">
      <c r="A195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56"/>
  <sheetViews>
    <sheetView topLeftCell="A200" workbookViewId="0">
      <selection activeCell="A110" sqref="A110"/>
    </sheetView>
  </sheetViews>
  <sheetFormatPr defaultRowHeight="15.7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4" spans="1:1" x14ac:dyDescent="0.25">
      <c r="A4" t="s">
        <v>50</v>
      </c>
    </row>
    <row r="6" spans="1:1" x14ac:dyDescent="0.25">
      <c r="A6" t="s">
        <v>51</v>
      </c>
    </row>
    <row r="7" spans="1:1" x14ac:dyDescent="0.25">
      <c r="A7" t="s">
        <v>52</v>
      </c>
    </row>
    <row r="8" spans="1:1" x14ac:dyDescent="0.25">
      <c r="A8" t="s">
        <v>53</v>
      </c>
    </row>
    <row r="9" spans="1:1" x14ac:dyDescent="0.25">
      <c r="A9" t="s">
        <v>54</v>
      </c>
    </row>
    <row r="11" spans="1:1" x14ac:dyDescent="0.25">
      <c r="A11" t="s">
        <v>154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8" spans="1:1" x14ac:dyDescent="0.25">
      <c r="A18" t="s">
        <v>59</v>
      </c>
    </row>
    <row r="19" spans="1:1" x14ac:dyDescent="0.25">
      <c r="A19" t="s">
        <v>60</v>
      </c>
    </row>
    <row r="20" spans="1:1" x14ac:dyDescent="0.25">
      <c r="A20" t="s">
        <v>61</v>
      </c>
    </row>
    <row r="21" spans="1:1" x14ac:dyDescent="0.25">
      <c r="A21" t="s">
        <v>62</v>
      </c>
    </row>
    <row r="22" spans="1:1" x14ac:dyDescent="0.25">
      <c r="A22" t="s">
        <v>63</v>
      </c>
    </row>
    <row r="23" spans="1:1" x14ac:dyDescent="0.25">
      <c r="A23" t="s">
        <v>155</v>
      </c>
    </row>
    <row r="24" spans="1:1" x14ac:dyDescent="0.25">
      <c r="A24" t="s">
        <v>156</v>
      </c>
    </row>
    <row r="25" spans="1:1" x14ac:dyDescent="0.25">
      <c r="A25" t="s">
        <v>157</v>
      </c>
    </row>
    <row r="26" spans="1:1" x14ac:dyDescent="0.25">
      <c r="A26" t="s">
        <v>158</v>
      </c>
    </row>
    <row r="27" spans="1:1" x14ac:dyDescent="0.25">
      <c r="A27" t="s">
        <v>159</v>
      </c>
    </row>
    <row r="28" spans="1:1" x14ac:dyDescent="0.25">
      <c r="A28" t="s">
        <v>57</v>
      </c>
    </row>
    <row r="29" spans="1:1" x14ac:dyDescent="0.25">
      <c r="A29" t="s">
        <v>58</v>
      </c>
    </row>
    <row r="30" spans="1:1" x14ac:dyDescent="0.25">
      <c r="A30" t="s">
        <v>80</v>
      </c>
    </row>
    <row r="31" spans="1:1" x14ac:dyDescent="0.25">
      <c r="A31" t="s">
        <v>81</v>
      </c>
    </row>
    <row r="32" spans="1:1" x14ac:dyDescent="0.25">
      <c r="A32" t="s">
        <v>82</v>
      </c>
    </row>
    <row r="33" spans="1:1" x14ac:dyDescent="0.25">
      <c r="A33" t="s">
        <v>61</v>
      </c>
    </row>
    <row r="34" spans="1:1" x14ac:dyDescent="0.25">
      <c r="A34" t="s">
        <v>83</v>
      </c>
    </row>
    <row r="35" spans="1:1" x14ac:dyDescent="0.25">
      <c r="A35" t="s">
        <v>84</v>
      </c>
    </row>
    <row r="37" spans="1:1" x14ac:dyDescent="0.25">
      <c r="A37" t="s">
        <v>85</v>
      </c>
    </row>
    <row r="38" spans="1:1" x14ac:dyDescent="0.25">
      <c r="A38" t="s">
        <v>86</v>
      </c>
    </row>
    <row r="40" spans="1:1" x14ac:dyDescent="0.25">
      <c r="A40" t="s">
        <v>87</v>
      </c>
    </row>
    <row r="41" spans="1:1" x14ac:dyDescent="0.25">
      <c r="A41" t="s">
        <v>88</v>
      </c>
    </row>
    <row r="44" spans="1:1" x14ac:dyDescent="0.25">
      <c r="A44" t="s">
        <v>89</v>
      </c>
    </row>
    <row r="45" spans="1:1" x14ac:dyDescent="0.25">
      <c r="A45" t="s">
        <v>90</v>
      </c>
    </row>
    <row r="46" spans="1:1" x14ac:dyDescent="0.25">
      <c r="A46" t="s">
        <v>91</v>
      </c>
    </row>
    <row r="48" spans="1:1" x14ac:dyDescent="0.25">
      <c r="A48" t="s">
        <v>57</v>
      </c>
    </row>
    <row r="49" spans="1:1" x14ac:dyDescent="0.25">
      <c r="A49" t="s">
        <v>58</v>
      </c>
    </row>
    <row r="50" spans="1:1" x14ac:dyDescent="0.25">
      <c r="A50" t="s">
        <v>92</v>
      </c>
    </row>
    <row r="51" spans="1:1" x14ac:dyDescent="0.25">
      <c r="A51" t="s">
        <v>81</v>
      </c>
    </row>
    <row r="52" spans="1:1" x14ac:dyDescent="0.25">
      <c r="A52" t="s">
        <v>93</v>
      </c>
    </row>
    <row r="53" spans="1:1" x14ac:dyDescent="0.25">
      <c r="A53" t="s">
        <v>94</v>
      </c>
    </row>
    <row r="54" spans="1:1" x14ac:dyDescent="0.25">
      <c r="A54" t="s">
        <v>95</v>
      </c>
    </row>
    <row r="55" spans="1:1" x14ac:dyDescent="0.25">
      <c r="A55" t="s">
        <v>96</v>
      </c>
    </row>
    <row r="56" spans="1:1" x14ac:dyDescent="0.25">
      <c r="A56" t="s">
        <v>97</v>
      </c>
    </row>
    <row r="57" spans="1:1" x14ac:dyDescent="0.25">
      <c r="A57" t="s">
        <v>98</v>
      </c>
    </row>
    <row r="58" spans="1:1" x14ac:dyDescent="0.25">
      <c r="A58" t="s">
        <v>99</v>
      </c>
    </row>
    <row r="59" spans="1:1" x14ac:dyDescent="0.25">
      <c r="A59" t="s">
        <v>100</v>
      </c>
    </row>
    <row r="60" spans="1:1" x14ac:dyDescent="0.25">
      <c r="A60" t="s">
        <v>101</v>
      </c>
    </row>
    <row r="61" spans="1:1" x14ac:dyDescent="0.25">
      <c r="A61" t="s">
        <v>102</v>
      </c>
    </row>
    <row r="62" spans="1:1" x14ac:dyDescent="0.25">
      <c r="A62" t="s">
        <v>103</v>
      </c>
    </row>
    <row r="63" spans="1:1" x14ac:dyDescent="0.25">
      <c r="A63" t="s">
        <v>104</v>
      </c>
    </row>
    <row r="64" spans="1:1" x14ac:dyDescent="0.25">
      <c r="A64" t="s">
        <v>95</v>
      </c>
    </row>
    <row r="65" spans="1:1" x14ac:dyDescent="0.25">
      <c r="A65" t="s">
        <v>105</v>
      </c>
    </row>
    <row r="66" spans="1:1" x14ac:dyDescent="0.25">
      <c r="A66" t="s">
        <v>97</v>
      </c>
    </row>
    <row r="67" spans="1:1" x14ac:dyDescent="0.25">
      <c r="A67" t="s">
        <v>106</v>
      </c>
    </row>
    <row r="68" spans="1:1" x14ac:dyDescent="0.25">
      <c r="A68" t="s">
        <v>99</v>
      </c>
    </row>
    <row r="69" spans="1:1" x14ac:dyDescent="0.25">
      <c r="A69" t="s">
        <v>107</v>
      </c>
    </row>
    <row r="70" spans="1:1" x14ac:dyDescent="0.25">
      <c r="A70" t="s">
        <v>101</v>
      </c>
    </row>
    <row r="71" spans="1:1" x14ac:dyDescent="0.25">
      <c r="A71" t="s">
        <v>108</v>
      </c>
    </row>
    <row r="72" spans="1:1" x14ac:dyDescent="0.25">
      <c r="A72" t="s">
        <v>109</v>
      </c>
    </row>
    <row r="73" spans="1:1" x14ac:dyDescent="0.25">
      <c r="A73" t="s">
        <v>94</v>
      </c>
    </row>
    <row r="74" spans="1:1" x14ac:dyDescent="0.25">
      <c r="A74" t="s">
        <v>100</v>
      </c>
    </row>
    <row r="75" spans="1:1" x14ac:dyDescent="0.25">
      <c r="A75" t="s">
        <v>96</v>
      </c>
    </row>
    <row r="76" spans="1:1" x14ac:dyDescent="0.25">
      <c r="A76" t="s">
        <v>102</v>
      </c>
    </row>
    <row r="77" spans="1:1" x14ac:dyDescent="0.25">
      <c r="A77" t="s">
        <v>110</v>
      </c>
    </row>
    <row r="78" spans="1:1" x14ac:dyDescent="0.25">
      <c r="A78" t="s">
        <v>104</v>
      </c>
    </row>
    <row r="79" spans="1:1" x14ac:dyDescent="0.25">
      <c r="A79" t="s">
        <v>100</v>
      </c>
    </row>
    <row r="80" spans="1:1" x14ac:dyDescent="0.25">
      <c r="A80" t="s">
        <v>105</v>
      </c>
    </row>
    <row r="81" spans="1:1" x14ac:dyDescent="0.25">
      <c r="A81" t="s">
        <v>102</v>
      </c>
    </row>
    <row r="82" spans="1:1" x14ac:dyDescent="0.25">
      <c r="A82" t="s">
        <v>111</v>
      </c>
    </row>
    <row r="83" spans="1:1" x14ac:dyDescent="0.25">
      <c r="A83" t="s">
        <v>104</v>
      </c>
    </row>
    <row r="84" spans="1:1" x14ac:dyDescent="0.25">
      <c r="A84" t="s">
        <v>107</v>
      </c>
    </row>
    <row r="85" spans="1:1" x14ac:dyDescent="0.25">
      <c r="A85" t="s">
        <v>105</v>
      </c>
    </row>
    <row r="86" spans="1:1" x14ac:dyDescent="0.25">
      <c r="A86" t="s">
        <v>108</v>
      </c>
    </row>
    <row r="87" spans="1:1" x14ac:dyDescent="0.25">
      <c r="A87" t="s">
        <v>112</v>
      </c>
    </row>
    <row r="88" spans="1:1" x14ac:dyDescent="0.25">
      <c r="A88" t="s">
        <v>94</v>
      </c>
    </row>
    <row r="89" spans="1:1" x14ac:dyDescent="0.25">
      <c r="A89" t="s">
        <v>107</v>
      </c>
    </row>
    <row r="90" spans="1:1" x14ac:dyDescent="0.25">
      <c r="A90" t="s">
        <v>96</v>
      </c>
    </row>
    <row r="91" spans="1:1" x14ac:dyDescent="0.25">
      <c r="A91" t="s">
        <v>108</v>
      </c>
    </row>
    <row r="92" spans="1:1" x14ac:dyDescent="0.25">
      <c r="A92" t="s">
        <v>113</v>
      </c>
    </row>
    <row r="93" spans="1:1" x14ac:dyDescent="0.25">
      <c r="A93" t="s">
        <v>57</v>
      </c>
    </row>
    <row r="94" spans="1:1" x14ac:dyDescent="0.25">
      <c r="A94" t="s">
        <v>58</v>
      </c>
    </row>
    <row r="96" spans="1:1" x14ac:dyDescent="0.25">
      <c r="A96" t="s">
        <v>114</v>
      </c>
    </row>
    <row r="97" spans="1:1" x14ac:dyDescent="0.25">
      <c r="A97" t="s">
        <v>115</v>
      </c>
    </row>
    <row r="98" spans="1:1" x14ac:dyDescent="0.25">
      <c r="A98" t="s">
        <v>116</v>
      </c>
    </row>
    <row r="99" spans="1:1" x14ac:dyDescent="0.25">
      <c r="A99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4" spans="1:1" x14ac:dyDescent="0.25">
      <c r="A104" t="s">
        <v>120</v>
      </c>
    </row>
    <row r="105" spans="1:1" x14ac:dyDescent="0.25">
      <c r="A105" t="s">
        <v>121</v>
      </c>
    </row>
    <row r="106" spans="1:1" x14ac:dyDescent="0.25">
      <c r="A106" t="s">
        <v>122</v>
      </c>
    </row>
    <row r="107" spans="1:1" x14ac:dyDescent="0.25">
      <c r="A107" t="s">
        <v>123</v>
      </c>
    </row>
    <row r="109" spans="1:1" x14ac:dyDescent="0.25">
      <c r="A109" t="s">
        <v>124</v>
      </c>
    </row>
    <row r="110" spans="1:1" x14ac:dyDescent="0.25">
      <c r="A110" t="s">
        <v>186</v>
      </c>
    </row>
    <row r="111" spans="1:1" x14ac:dyDescent="0.25">
      <c r="A111" t="s">
        <v>126</v>
      </c>
    </row>
    <row r="112" spans="1:1" x14ac:dyDescent="0.25">
      <c r="A112" t="s">
        <v>127</v>
      </c>
    </row>
    <row r="113" spans="1:1" x14ac:dyDescent="0.25">
      <c r="A113" t="s">
        <v>131</v>
      </c>
    </row>
    <row r="114" spans="1:1" x14ac:dyDescent="0.25">
      <c r="A114" t="s">
        <v>132</v>
      </c>
    </row>
    <row r="116" spans="1:1" x14ac:dyDescent="0.25">
      <c r="A116" t="s">
        <v>187</v>
      </c>
    </row>
    <row r="117" spans="1:1" x14ac:dyDescent="0.25">
      <c r="A117" t="s">
        <v>126</v>
      </c>
    </row>
    <row r="118" spans="1:1" x14ac:dyDescent="0.25">
      <c r="A118" t="s">
        <v>127</v>
      </c>
    </row>
    <row r="119" spans="1:1" x14ac:dyDescent="0.25">
      <c r="A119" t="s">
        <v>134</v>
      </c>
    </row>
    <row r="120" spans="1:1" x14ac:dyDescent="0.25">
      <c r="A120" t="s">
        <v>135</v>
      </c>
    </row>
    <row r="122" spans="1:1" x14ac:dyDescent="0.25">
      <c r="A122" t="s">
        <v>188</v>
      </c>
    </row>
    <row r="123" spans="1:1" x14ac:dyDescent="0.25">
      <c r="A123" t="s">
        <v>126</v>
      </c>
    </row>
    <row r="124" spans="1:1" x14ac:dyDescent="0.25">
      <c r="A124" t="s">
        <v>127</v>
      </c>
    </row>
    <row r="125" spans="1:1" x14ac:dyDescent="0.25">
      <c r="A125" t="s">
        <v>137</v>
      </c>
    </row>
    <row r="126" spans="1:1" x14ac:dyDescent="0.25">
      <c r="A126" t="s">
        <v>138</v>
      </c>
    </row>
    <row r="129" spans="1:1" x14ac:dyDescent="0.25">
      <c r="A129" t="s">
        <v>189</v>
      </c>
    </row>
    <row r="130" spans="1:1" x14ac:dyDescent="0.25">
      <c r="A130" t="s">
        <v>126</v>
      </c>
    </row>
    <row r="131" spans="1:1" x14ac:dyDescent="0.25">
      <c r="A131" t="s">
        <v>127</v>
      </c>
    </row>
    <row r="132" spans="1:1" x14ac:dyDescent="0.25">
      <c r="A132" t="s">
        <v>160</v>
      </c>
    </row>
    <row r="133" spans="1:1" x14ac:dyDescent="0.25">
      <c r="A133" t="s">
        <v>161</v>
      </c>
    </row>
    <row r="135" spans="1:1" x14ac:dyDescent="0.25">
      <c r="A135" t="s">
        <v>190</v>
      </c>
    </row>
    <row r="136" spans="1:1" x14ac:dyDescent="0.25">
      <c r="A136" t="s">
        <v>126</v>
      </c>
    </row>
    <row r="137" spans="1:1" x14ac:dyDescent="0.25">
      <c r="A137" t="s">
        <v>127</v>
      </c>
    </row>
    <row r="138" spans="1:1" x14ac:dyDescent="0.25">
      <c r="A138" t="s">
        <v>162</v>
      </c>
    </row>
    <row r="139" spans="1:1" x14ac:dyDescent="0.25">
      <c r="A139" t="s">
        <v>163</v>
      </c>
    </row>
    <row r="141" spans="1:1" x14ac:dyDescent="0.25">
      <c r="A141" t="s">
        <v>191</v>
      </c>
    </row>
    <row r="142" spans="1:1" x14ac:dyDescent="0.25">
      <c r="A142" t="s">
        <v>126</v>
      </c>
    </row>
    <row r="143" spans="1:1" x14ac:dyDescent="0.25">
      <c r="A143" t="s">
        <v>127</v>
      </c>
    </row>
    <row r="144" spans="1:1" x14ac:dyDescent="0.25">
      <c r="A144" t="s">
        <v>164</v>
      </c>
    </row>
    <row r="145" spans="1:1" x14ac:dyDescent="0.25">
      <c r="A145" t="s">
        <v>165</v>
      </c>
    </row>
    <row r="147" spans="1:1" x14ac:dyDescent="0.25">
      <c r="A147" t="s">
        <v>192</v>
      </c>
    </row>
    <row r="148" spans="1:1" x14ac:dyDescent="0.25">
      <c r="A148" t="s">
        <v>126</v>
      </c>
    </row>
    <row r="149" spans="1:1" x14ac:dyDescent="0.25">
      <c r="A149" t="s">
        <v>127</v>
      </c>
    </row>
    <row r="150" spans="1:1" x14ac:dyDescent="0.25">
      <c r="A150" t="s">
        <v>166</v>
      </c>
    </row>
    <row r="151" spans="1:1" x14ac:dyDescent="0.25">
      <c r="A151" t="s">
        <v>167</v>
      </c>
    </row>
    <row r="153" spans="1:1" x14ac:dyDescent="0.25">
      <c r="A153" t="s">
        <v>193</v>
      </c>
    </row>
    <row r="154" spans="1:1" x14ac:dyDescent="0.25">
      <c r="A154" t="s">
        <v>126</v>
      </c>
    </row>
    <row r="155" spans="1:1" x14ac:dyDescent="0.25">
      <c r="A155" t="s">
        <v>127</v>
      </c>
    </row>
    <row r="156" spans="1:1" x14ac:dyDescent="0.25">
      <c r="A156" t="s">
        <v>168</v>
      </c>
    </row>
    <row r="157" spans="1:1" x14ac:dyDescent="0.25">
      <c r="A157" t="s">
        <v>169</v>
      </c>
    </row>
    <row r="159" spans="1:1" x14ac:dyDescent="0.25">
      <c r="A159" t="s">
        <v>194</v>
      </c>
    </row>
    <row r="160" spans="1:1" x14ac:dyDescent="0.25">
      <c r="A160" t="s">
        <v>126</v>
      </c>
    </row>
    <row r="161" spans="1:1" x14ac:dyDescent="0.25">
      <c r="A161" t="s">
        <v>127</v>
      </c>
    </row>
    <row r="162" spans="1:1" x14ac:dyDescent="0.25">
      <c r="A162" t="s">
        <v>170</v>
      </c>
    </row>
    <row r="163" spans="1:1" x14ac:dyDescent="0.25">
      <c r="A163" t="s">
        <v>171</v>
      </c>
    </row>
    <row r="165" spans="1:1" x14ac:dyDescent="0.25">
      <c r="A165" t="s">
        <v>195</v>
      </c>
    </row>
    <row r="166" spans="1:1" x14ac:dyDescent="0.25">
      <c r="A166" t="s">
        <v>126</v>
      </c>
    </row>
    <row r="167" spans="1:1" x14ac:dyDescent="0.25">
      <c r="A167" t="s">
        <v>127</v>
      </c>
    </row>
    <row r="168" spans="1:1" x14ac:dyDescent="0.25">
      <c r="A168" t="s">
        <v>172</v>
      </c>
    </row>
    <row r="169" spans="1:1" x14ac:dyDescent="0.25">
      <c r="A169" t="s">
        <v>173</v>
      </c>
    </row>
    <row r="171" spans="1:1" x14ac:dyDescent="0.25">
      <c r="A171" t="s">
        <v>196</v>
      </c>
    </row>
    <row r="172" spans="1:1" x14ac:dyDescent="0.25">
      <c r="A172" t="s">
        <v>126</v>
      </c>
    </row>
    <row r="173" spans="1:1" x14ac:dyDescent="0.25">
      <c r="A173" t="s">
        <v>127</v>
      </c>
    </row>
    <row r="174" spans="1:1" x14ac:dyDescent="0.25">
      <c r="A174" t="s">
        <v>174</v>
      </c>
    </row>
    <row r="175" spans="1:1" x14ac:dyDescent="0.25">
      <c r="A175" t="s">
        <v>175</v>
      </c>
    </row>
    <row r="178" spans="1:1" x14ac:dyDescent="0.25">
      <c r="A178" t="s">
        <v>197</v>
      </c>
    </row>
    <row r="179" spans="1:1" x14ac:dyDescent="0.25">
      <c r="A179" t="s">
        <v>126</v>
      </c>
    </row>
    <row r="180" spans="1:1" x14ac:dyDescent="0.25">
      <c r="A180" t="s">
        <v>127</v>
      </c>
    </row>
    <row r="181" spans="1:1" x14ac:dyDescent="0.25">
      <c r="A181" t="s">
        <v>176</v>
      </c>
    </row>
    <row r="182" spans="1:1" x14ac:dyDescent="0.25">
      <c r="A182" t="s">
        <v>177</v>
      </c>
    </row>
    <row r="185" spans="1:1" x14ac:dyDescent="0.25">
      <c r="A185" t="s">
        <v>198</v>
      </c>
    </row>
    <row r="186" spans="1:1" x14ac:dyDescent="0.25">
      <c r="A186" t="s">
        <v>126</v>
      </c>
    </row>
    <row r="187" spans="1:1" x14ac:dyDescent="0.25">
      <c r="A187" t="s">
        <v>127</v>
      </c>
    </row>
    <row r="188" spans="1:1" x14ac:dyDescent="0.25">
      <c r="A188" t="s">
        <v>178</v>
      </c>
    </row>
    <row r="189" spans="1:1" x14ac:dyDescent="0.25">
      <c r="A189" t="s">
        <v>179</v>
      </c>
    </row>
    <row r="191" spans="1:1" x14ac:dyDescent="0.25">
      <c r="A191" t="s">
        <v>199</v>
      </c>
    </row>
    <row r="192" spans="1:1" x14ac:dyDescent="0.25">
      <c r="A192" t="s">
        <v>126</v>
      </c>
    </row>
    <row r="193" spans="1:1" x14ac:dyDescent="0.25">
      <c r="A193" t="s">
        <v>127</v>
      </c>
    </row>
    <row r="194" spans="1:1" x14ac:dyDescent="0.25">
      <c r="A194" t="s">
        <v>180</v>
      </c>
    </row>
    <row r="195" spans="1:1" x14ac:dyDescent="0.25">
      <c r="A195" t="s">
        <v>181</v>
      </c>
    </row>
    <row r="198" spans="1:1" x14ac:dyDescent="0.25">
      <c r="A198" t="s">
        <v>200</v>
      </c>
    </row>
    <row r="199" spans="1:1" x14ac:dyDescent="0.25">
      <c r="A199" t="s">
        <v>126</v>
      </c>
    </row>
    <row r="200" spans="1:1" x14ac:dyDescent="0.25">
      <c r="A200" t="s">
        <v>127</v>
      </c>
    </row>
    <row r="201" spans="1:1" x14ac:dyDescent="0.25">
      <c r="A201" t="s">
        <v>182</v>
      </c>
    </row>
    <row r="202" spans="1:1" x14ac:dyDescent="0.25">
      <c r="A202" t="s">
        <v>183</v>
      </c>
    </row>
    <row r="204" spans="1:1" x14ac:dyDescent="0.25">
      <c r="A204" t="s">
        <v>136</v>
      </c>
    </row>
    <row r="205" spans="1:1" x14ac:dyDescent="0.25">
      <c r="A205" t="s">
        <v>126</v>
      </c>
    </row>
    <row r="206" spans="1:1" x14ac:dyDescent="0.25">
      <c r="A206" t="s">
        <v>127</v>
      </c>
    </row>
    <row r="207" spans="1:1" x14ac:dyDescent="0.25">
      <c r="A207" t="s">
        <v>184</v>
      </c>
    </row>
    <row r="208" spans="1:1" x14ac:dyDescent="0.25">
      <c r="A208" t="s">
        <v>185</v>
      </c>
    </row>
    <row r="209" spans="1:1" x14ac:dyDescent="0.25">
      <c r="A209" t="s">
        <v>139</v>
      </c>
    </row>
    <row r="212" spans="1:1" x14ac:dyDescent="0.25">
      <c r="A212" t="s">
        <v>57</v>
      </c>
    </row>
    <row r="213" spans="1:1" x14ac:dyDescent="0.25">
      <c r="A213" t="s">
        <v>140</v>
      </c>
    </row>
    <row r="214" spans="1:1" x14ac:dyDescent="0.25">
      <c r="A214" t="s">
        <v>141</v>
      </c>
    </row>
    <row r="215" spans="1:1" x14ac:dyDescent="0.25">
      <c r="A215" t="s">
        <v>116</v>
      </c>
    </row>
    <row r="216" spans="1:1" x14ac:dyDescent="0.25">
      <c r="A216" t="s">
        <v>117</v>
      </c>
    </row>
    <row r="218" spans="1:1" x14ac:dyDescent="0.25">
      <c r="A218" t="s">
        <v>118</v>
      </c>
    </row>
    <row r="219" spans="1:1" x14ac:dyDescent="0.25">
      <c r="A219" t="s">
        <v>119</v>
      </c>
    </row>
    <row r="220" spans="1:1" x14ac:dyDescent="0.25">
      <c r="A220" t="s">
        <v>81</v>
      </c>
    </row>
    <row r="221" spans="1:1" x14ac:dyDescent="0.25">
      <c r="A221" t="s">
        <v>142</v>
      </c>
    </row>
    <row r="222" spans="1:1" x14ac:dyDescent="0.25">
      <c r="A222" t="s">
        <v>121</v>
      </c>
    </row>
    <row r="223" spans="1:1" x14ac:dyDescent="0.25">
      <c r="A223" t="s">
        <v>143</v>
      </c>
    </row>
    <row r="224" spans="1:1" x14ac:dyDescent="0.25">
      <c r="A224" t="s">
        <v>57</v>
      </c>
    </row>
    <row r="225" spans="1:1" x14ac:dyDescent="0.25">
      <c r="A225" t="s">
        <v>144</v>
      </c>
    </row>
    <row r="226" spans="1:1" x14ac:dyDescent="0.25">
      <c r="A226" t="s">
        <v>141</v>
      </c>
    </row>
    <row r="227" spans="1:1" x14ac:dyDescent="0.25">
      <c r="A227" t="s">
        <v>116</v>
      </c>
    </row>
    <row r="228" spans="1:1" x14ac:dyDescent="0.25">
      <c r="A228" t="s">
        <v>117</v>
      </c>
    </row>
    <row r="230" spans="1:1" x14ac:dyDescent="0.25">
      <c r="A230" t="s">
        <v>118</v>
      </c>
    </row>
    <row r="231" spans="1:1" x14ac:dyDescent="0.25">
      <c r="A231" t="s">
        <v>119</v>
      </c>
    </row>
    <row r="232" spans="1:1" x14ac:dyDescent="0.25">
      <c r="A232" t="s">
        <v>81</v>
      </c>
    </row>
    <row r="233" spans="1:1" x14ac:dyDescent="0.25">
      <c r="A233" t="s">
        <v>142</v>
      </c>
    </row>
    <row r="234" spans="1:1" x14ac:dyDescent="0.25">
      <c r="A234" t="s">
        <v>121</v>
      </c>
    </row>
    <row r="235" spans="1:1" x14ac:dyDescent="0.25">
      <c r="A235" t="s">
        <v>145</v>
      </c>
    </row>
    <row r="236" spans="1:1" x14ac:dyDescent="0.25">
      <c r="A236" t="s">
        <v>146</v>
      </c>
    </row>
    <row r="237" spans="1:1" x14ac:dyDescent="0.25">
      <c r="A237" t="s">
        <v>58</v>
      </c>
    </row>
    <row r="238" spans="1:1" x14ac:dyDescent="0.25">
      <c r="A238" t="s">
        <v>58</v>
      </c>
    </row>
    <row r="239" spans="1:1" x14ac:dyDescent="0.25">
      <c r="A239" t="s">
        <v>58</v>
      </c>
    </row>
    <row r="240" spans="1:1" x14ac:dyDescent="0.25">
      <c r="A240" t="s">
        <v>58</v>
      </c>
    </row>
    <row r="241" spans="1:1" x14ac:dyDescent="0.25">
      <c r="A241" t="s">
        <v>147</v>
      </c>
    </row>
    <row r="242" spans="1:1" x14ac:dyDescent="0.25">
      <c r="A242" t="s">
        <v>116</v>
      </c>
    </row>
    <row r="243" spans="1:1" x14ac:dyDescent="0.25">
      <c r="A243" t="s">
        <v>117</v>
      </c>
    </row>
    <row r="244" spans="1:1" x14ac:dyDescent="0.25">
      <c r="A244" t="s">
        <v>148</v>
      </c>
    </row>
    <row r="245" spans="1:1" x14ac:dyDescent="0.25">
      <c r="A245" t="s">
        <v>149</v>
      </c>
    </row>
    <row r="246" spans="1:1" x14ac:dyDescent="0.25">
      <c r="A246" t="s">
        <v>150</v>
      </c>
    </row>
    <row r="247" spans="1:1" x14ac:dyDescent="0.25">
      <c r="A247" t="s">
        <v>151</v>
      </c>
    </row>
    <row r="248" spans="1:1" x14ac:dyDescent="0.25">
      <c r="A248" t="s">
        <v>57</v>
      </c>
    </row>
    <row r="251" spans="1:1" x14ac:dyDescent="0.25">
      <c r="A251" t="s">
        <v>152</v>
      </c>
    </row>
    <row r="252" spans="1:1" x14ac:dyDescent="0.25">
      <c r="A252" t="s">
        <v>116</v>
      </c>
    </row>
    <row r="253" spans="1:1" x14ac:dyDescent="0.25">
      <c r="A253" t="s">
        <v>117</v>
      </c>
    </row>
    <row r="254" spans="1:1" x14ac:dyDescent="0.25">
      <c r="A254" t="s">
        <v>153</v>
      </c>
    </row>
    <row r="255" spans="1:1" x14ac:dyDescent="0.25">
      <c r="A255" t="s">
        <v>57</v>
      </c>
    </row>
    <row r="256" spans="1:1" x14ac:dyDescent="0.25">
      <c r="A256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RAMS</vt:lpstr>
      <vt:lpstr>WT</vt:lpstr>
      <vt:lpstr>RAMS_Database</vt:lpstr>
      <vt:lpstr>WT_Database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2018-05-08T02:46:53Z</dcterms:modified>
</cp:coreProperties>
</file>