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Johnx\Project_2\Community_Health_Centre\wind_data\"/>
    </mc:Choice>
  </mc:AlternateContent>
  <xr:revisionPtr revIDLastSave="0" documentId="13_ncr:1_{F8CC9FC8-310C-4571-99A2-C56DBAF37B55}" xr6:coauthVersionLast="44" xr6:coauthVersionMax="44" xr10:uidLastSave="{00000000-0000-0000-0000-000000000000}"/>
  <bookViews>
    <workbookView xWindow="-108" yWindow="-108" windowWidth="30936" windowHeight="16896" activeTab="1" xr2:uid="{00000000-000D-0000-FFFF-FFFF00000000}"/>
  </bookViews>
  <sheets>
    <sheet name="WindData" sheetId="2" r:id="rId1"/>
    <sheet name="RAMS" sheetId="5" r:id="rId2"/>
    <sheet name="CaseGeneration" sheetId="3" r:id="rId3"/>
    <sheet name="Testpoints" sheetId="1" r:id="rId4"/>
    <sheet name="IndoorCFD" sheetId="7" r:id="rId5"/>
    <sheet name="Sheet2" sheetId="8" r:id="rId6"/>
    <sheet name="Sheet1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8" i="2" l="1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AZ16" i="6" l="1"/>
  <c r="AZ12" i="6"/>
  <c r="AH137" i="6"/>
  <c r="AI137" i="6"/>
  <c r="AJ137" i="6"/>
  <c r="AK137" i="6"/>
  <c r="AL137" i="6"/>
  <c r="AM137" i="6"/>
  <c r="AN137" i="6"/>
  <c r="AH138" i="6"/>
  <c r="AI138" i="6"/>
  <c r="AJ138" i="6"/>
  <c r="AK138" i="6"/>
  <c r="AL138" i="6"/>
  <c r="AM138" i="6"/>
  <c r="AN138" i="6"/>
  <c r="AG138" i="6"/>
  <c r="AG137" i="6"/>
  <c r="AH7" i="6"/>
  <c r="AI7" i="6"/>
  <c r="AJ7" i="6"/>
  <c r="AK7" i="6"/>
  <c r="AL7" i="6"/>
  <c r="AM7" i="6"/>
  <c r="AN7" i="6"/>
  <c r="AH8" i="6"/>
  <c r="AI8" i="6"/>
  <c r="AJ8" i="6"/>
  <c r="AK8" i="6"/>
  <c r="AL8" i="6"/>
  <c r="AM8" i="6"/>
  <c r="AN8" i="6"/>
  <c r="AG7" i="6"/>
  <c r="AG8" i="6"/>
  <c r="J8" i="6"/>
  <c r="J138" i="6" s="1"/>
  <c r="I8" i="6"/>
  <c r="AD264" i="6"/>
  <c r="AA264" i="6"/>
  <c r="Y264" i="6"/>
  <c r="X264" i="6"/>
  <c r="W264" i="6"/>
  <c r="AD263" i="6"/>
  <c r="AA263" i="6"/>
  <c r="Y263" i="6"/>
  <c r="X263" i="6"/>
  <c r="W263" i="6"/>
  <c r="Z134" i="6"/>
  <c r="AC134" i="6"/>
  <c r="AD134" i="6"/>
  <c r="Z133" i="6"/>
  <c r="AC133" i="6"/>
  <c r="AD133" i="6"/>
  <c r="W132" i="6"/>
  <c r="X132" i="6"/>
  <c r="Y132" i="6"/>
  <c r="Z132" i="6"/>
  <c r="AA132" i="6"/>
  <c r="AB132" i="6"/>
  <c r="AC132" i="6"/>
  <c r="AD132" i="6"/>
  <c r="AF132" i="6"/>
  <c r="W108" i="6"/>
  <c r="X108" i="6"/>
  <c r="Y108" i="6"/>
  <c r="Z108" i="6"/>
  <c r="AA108" i="6"/>
  <c r="AB108" i="6"/>
  <c r="AC108" i="6"/>
  <c r="AD108" i="6"/>
  <c r="AF108" i="6"/>
  <c r="W109" i="6"/>
  <c r="X109" i="6"/>
  <c r="Y109" i="6"/>
  <c r="Z109" i="6"/>
  <c r="AA109" i="6"/>
  <c r="AB109" i="6"/>
  <c r="AC109" i="6"/>
  <c r="AD109" i="6"/>
  <c r="AF109" i="6"/>
  <c r="W110" i="6"/>
  <c r="X110" i="6"/>
  <c r="Y110" i="6"/>
  <c r="Z110" i="6"/>
  <c r="AA110" i="6"/>
  <c r="AB110" i="6"/>
  <c r="AC110" i="6"/>
  <c r="AD110" i="6"/>
  <c r="AF110" i="6"/>
  <c r="W111" i="6"/>
  <c r="X111" i="6"/>
  <c r="Y111" i="6"/>
  <c r="Z111" i="6"/>
  <c r="AA111" i="6"/>
  <c r="AB111" i="6"/>
  <c r="AC111" i="6"/>
  <c r="AD111" i="6"/>
  <c r="AF111" i="6"/>
  <c r="W112" i="6"/>
  <c r="X112" i="6"/>
  <c r="Y112" i="6"/>
  <c r="Z112" i="6"/>
  <c r="AA112" i="6"/>
  <c r="AB112" i="6"/>
  <c r="AC112" i="6"/>
  <c r="AD112" i="6"/>
  <c r="AF112" i="6"/>
  <c r="W113" i="6"/>
  <c r="X113" i="6"/>
  <c r="Y113" i="6"/>
  <c r="Z113" i="6"/>
  <c r="AA113" i="6"/>
  <c r="AB113" i="6"/>
  <c r="AC113" i="6"/>
  <c r="AD113" i="6"/>
  <c r="AF113" i="6"/>
  <c r="W114" i="6"/>
  <c r="X114" i="6"/>
  <c r="Y114" i="6"/>
  <c r="Z114" i="6"/>
  <c r="AA114" i="6"/>
  <c r="AB114" i="6"/>
  <c r="AC114" i="6"/>
  <c r="AD114" i="6"/>
  <c r="AF114" i="6"/>
  <c r="W115" i="6"/>
  <c r="X115" i="6"/>
  <c r="Y115" i="6"/>
  <c r="Z115" i="6"/>
  <c r="AA115" i="6"/>
  <c r="AB115" i="6"/>
  <c r="AC115" i="6"/>
  <c r="AD115" i="6"/>
  <c r="AF115" i="6"/>
  <c r="W116" i="6"/>
  <c r="X116" i="6"/>
  <c r="Y116" i="6"/>
  <c r="Z116" i="6"/>
  <c r="AA116" i="6"/>
  <c r="AB116" i="6"/>
  <c r="AC116" i="6"/>
  <c r="AD116" i="6"/>
  <c r="AF116" i="6"/>
  <c r="W117" i="6"/>
  <c r="X117" i="6"/>
  <c r="Y117" i="6"/>
  <c r="Z117" i="6"/>
  <c r="AA117" i="6"/>
  <c r="AB117" i="6"/>
  <c r="AC117" i="6"/>
  <c r="AD117" i="6"/>
  <c r="AF117" i="6"/>
  <c r="W118" i="6"/>
  <c r="X118" i="6"/>
  <c r="Y118" i="6"/>
  <c r="Z118" i="6"/>
  <c r="AA118" i="6"/>
  <c r="AB118" i="6"/>
  <c r="AC118" i="6"/>
  <c r="AD118" i="6"/>
  <c r="AF118" i="6"/>
  <c r="W119" i="6"/>
  <c r="X119" i="6"/>
  <c r="Y119" i="6"/>
  <c r="Z119" i="6"/>
  <c r="AA119" i="6"/>
  <c r="AB119" i="6"/>
  <c r="AC119" i="6"/>
  <c r="AD119" i="6"/>
  <c r="AF119" i="6"/>
  <c r="W120" i="6"/>
  <c r="X120" i="6"/>
  <c r="Y120" i="6"/>
  <c r="Z120" i="6"/>
  <c r="AA120" i="6"/>
  <c r="AB120" i="6"/>
  <c r="AC120" i="6"/>
  <c r="AD120" i="6"/>
  <c r="AF120" i="6"/>
  <c r="W121" i="6"/>
  <c r="X121" i="6"/>
  <c r="Y121" i="6"/>
  <c r="Z121" i="6"/>
  <c r="AA121" i="6"/>
  <c r="AB121" i="6"/>
  <c r="AC121" i="6"/>
  <c r="AD121" i="6"/>
  <c r="AF121" i="6"/>
  <c r="W122" i="6"/>
  <c r="X122" i="6"/>
  <c r="Y122" i="6"/>
  <c r="Z122" i="6"/>
  <c r="AA122" i="6"/>
  <c r="AB122" i="6"/>
  <c r="AC122" i="6"/>
  <c r="AD122" i="6"/>
  <c r="AF122" i="6"/>
  <c r="W123" i="6"/>
  <c r="X123" i="6"/>
  <c r="Y123" i="6"/>
  <c r="Z123" i="6"/>
  <c r="AA123" i="6"/>
  <c r="AB123" i="6"/>
  <c r="AC123" i="6"/>
  <c r="AD123" i="6"/>
  <c r="AF123" i="6"/>
  <c r="W124" i="6"/>
  <c r="X124" i="6"/>
  <c r="Y124" i="6"/>
  <c r="Z124" i="6"/>
  <c r="AA124" i="6"/>
  <c r="AB124" i="6"/>
  <c r="AC124" i="6"/>
  <c r="AD124" i="6"/>
  <c r="AF124" i="6"/>
  <c r="W125" i="6"/>
  <c r="X125" i="6"/>
  <c r="Y125" i="6"/>
  <c r="Z125" i="6"/>
  <c r="AA125" i="6"/>
  <c r="AB125" i="6"/>
  <c r="AC125" i="6"/>
  <c r="AD125" i="6"/>
  <c r="AF125" i="6"/>
  <c r="W126" i="6"/>
  <c r="X126" i="6"/>
  <c r="Y126" i="6"/>
  <c r="Z126" i="6"/>
  <c r="AA126" i="6"/>
  <c r="AB126" i="6"/>
  <c r="AC126" i="6"/>
  <c r="AD126" i="6"/>
  <c r="AF126" i="6"/>
  <c r="W127" i="6"/>
  <c r="X127" i="6"/>
  <c r="Y127" i="6"/>
  <c r="Z127" i="6"/>
  <c r="AA127" i="6"/>
  <c r="AB127" i="6"/>
  <c r="AC127" i="6"/>
  <c r="AD127" i="6"/>
  <c r="AF127" i="6"/>
  <c r="W128" i="6"/>
  <c r="X128" i="6"/>
  <c r="Y128" i="6"/>
  <c r="Z128" i="6"/>
  <c r="AA128" i="6"/>
  <c r="AB128" i="6"/>
  <c r="AC128" i="6"/>
  <c r="AD128" i="6"/>
  <c r="AF128" i="6"/>
  <c r="W129" i="6"/>
  <c r="X129" i="6"/>
  <c r="Y129" i="6"/>
  <c r="Z129" i="6"/>
  <c r="AA129" i="6"/>
  <c r="AB129" i="6"/>
  <c r="AC129" i="6"/>
  <c r="AD129" i="6"/>
  <c r="AF129" i="6"/>
  <c r="W130" i="6"/>
  <c r="X130" i="6"/>
  <c r="Y130" i="6"/>
  <c r="Z130" i="6"/>
  <c r="AA130" i="6"/>
  <c r="AB130" i="6"/>
  <c r="AC130" i="6"/>
  <c r="AD130" i="6"/>
  <c r="AF130" i="6"/>
  <c r="W131" i="6"/>
  <c r="X131" i="6"/>
  <c r="Y131" i="6"/>
  <c r="Z131" i="6"/>
  <c r="AA131" i="6"/>
  <c r="AB131" i="6"/>
  <c r="AC131" i="6"/>
  <c r="AD131" i="6"/>
  <c r="AF131" i="6"/>
  <c r="L132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AF246" i="6"/>
  <c r="AF247" i="6"/>
  <c r="AF248" i="6"/>
  <c r="AF249" i="6"/>
  <c r="AF250" i="6"/>
  <c r="AF251" i="6"/>
  <c r="AF252" i="6"/>
  <c r="AF253" i="6"/>
  <c r="AF254" i="6"/>
  <c r="AF255" i="6"/>
  <c r="AF256" i="6"/>
  <c r="AF257" i="6"/>
  <c r="AF258" i="6"/>
  <c r="AF259" i="6"/>
  <c r="AF260" i="6"/>
  <c r="AF261" i="6"/>
  <c r="AF262" i="6"/>
  <c r="AF238" i="6"/>
  <c r="AF239" i="6"/>
  <c r="AF240" i="6"/>
  <c r="AF241" i="6"/>
  <c r="AF242" i="6"/>
  <c r="AF243" i="6"/>
  <c r="AF244" i="6"/>
  <c r="AF245" i="6"/>
  <c r="W253" i="6"/>
  <c r="X253" i="6"/>
  <c r="Y253" i="6"/>
  <c r="Z253" i="6"/>
  <c r="AA253" i="6"/>
  <c r="AB253" i="6"/>
  <c r="AC253" i="6"/>
  <c r="AD253" i="6"/>
  <c r="W254" i="6"/>
  <c r="X254" i="6"/>
  <c r="Y254" i="6"/>
  <c r="Z254" i="6"/>
  <c r="AA254" i="6"/>
  <c r="AB254" i="6"/>
  <c r="AC254" i="6"/>
  <c r="AD254" i="6"/>
  <c r="W255" i="6"/>
  <c r="X255" i="6"/>
  <c r="Y255" i="6"/>
  <c r="Z255" i="6"/>
  <c r="AA255" i="6"/>
  <c r="AB255" i="6"/>
  <c r="AC255" i="6"/>
  <c r="AD255" i="6"/>
  <c r="W256" i="6"/>
  <c r="X256" i="6"/>
  <c r="Y256" i="6"/>
  <c r="Z256" i="6"/>
  <c r="AA256" i="6"/>
  <c r="AB256" i="6"/>
  <c r="AC256" i="6"/>
  <c r="AD256" i="6"/>
  <c r="W257" i="6"/>
  <c r="X257" i="6"/>
  <c r="Y257" i="6"/>
  <c r="Z257" i="6"/>
  <c r="AA257" i="6"/>
  <c r="AB257" i="6"/>
  <c r="AC257" i="6"/>
  <c r="AD257" i="6"/>
  <c r="W258" i="6"/>
  <c r="X258" i="6"/>
  <c r="Y258" i="6"/>
  <c r="Z258" i="6"/>
  <c r="AA258" i="6"/>
  <c r="AB258" i="6"/>
  <c r="AC258" i="6"/>
  <c r="AD258" i="6"/>
  <c r="W259" i="6"/>
  <c r="X259" i="6"/>
  <c r="Y259" i="6"/>
  <c r="Z259" i="6"/>
  <c r="AA259" i="6"/>
  <c r="AB259" i="6"/>
  <c r="AC259" i="6"/>
  <c r="AD259" i="6"/>
  <c r="W260" i="6"/>
  <c r="X260" i="6"/>
  <c r="Y260" i="6"/>
  <c r="Z260" i="6"/>
  <c r="AA260" i="6"/>
  <c r="AB260" i="6"/>
  <c r="AC260" i="6"/>
  <c r="AD260" i="6"/>
  <c r="W261" i="6"/>
  <c r="X261" i="6"/>
  <c r="Y261" i="6"/>
  <c r="Z261" i="6"/>
  <c r="AA261" i="6"/>
  <c r="AB261" i="6"/>
  <c r="AC261" i="6"/>
  <c r="AD261" i="6"/>
  <c r="W262" i="6"/>
  <c r="X262" i="6"/>
  <c r="Y262" i="6"/>
  <c r="Z262" i="6"/>
  <c r="AA262" i="6"/>
  <c r="AB262" i="6"/>
  <c r="AC262" i="6"/>
  <c r="AD262" i="6"/>
  <c r="W244" i="6"/>
  <c r="X244" i="6"/>
  <c r="Y244" i="6"/>
  <c r="Z244" i="6"/>
  <c r="AA244" i="6"/>
  <c r="AB244" i="6"/>
  <c r="AC244" i="6"/>
  <c r="AD244" i="6"/>
  <c r="W245" i="6"/>
  <c r="X245" i="6"/>
  <c r="Y245" i="6"/>
  <c r="Z245" i="6"/>
  <c r="AA245" i="6"/>
  <c r="AB245" i="6"/>
  <c r="AC245" i="6"/>
  <c r="AD245" i="6"/>
  <c r="W246" i="6"/>
  <c r="X246" i="6"/>
  <c r="Y246" i="6"/>
  <c r="Z246" i="6"/>
  <c r="AA246" i="6"/>
  <c r="AB246" i="6"/>
  <c r="AC246" i="6"/>
  <c r="AD246" i="6"/>
  <c r="W247" i="6"/>
  <c r="X247" i="6"/>
  <c r="Y247" i="6"/>
  <c r="Z247" i="6"/>
  <c r="AA247" i="6"/>
  <c r="AB247" i="6"/>
  <c r="AC247" i="6"/>
  <c r="AD247" i="6"/>
  <c r="W248" i="6"/>
  <c r="X248" i="6"/>
  <c r="Y248" i="6"/>
  <c r="Z248" i="6"/>
  <c r="AA248" i="6"/>
  <c r="AB248" i="6"/>
  <c r="AC248" i="6"/>
  <c r="AD248" i="6"/>
  <c r="W249" i="6"/>
  <c r="X249" i="6"/>
  <c r="Y249" i="6"/>
  <c r="Z249" i="6"/>
  <c r="AA249" i="6"/>
  <c r="AB249" i="6"/>
  <c r="AC249" i="6"/>
  <c r="AD249" i="6"/>
  <c r="W250" i="6"/>
  <c r="X250" i="6"/>
  <c r="Y250" i="6"/>
  <c r="Z250" i="6"/>
  <c r="AA250" i="6"/>
  <c r="AB250" i="6"/>
  <c r="AC250" i="6"/>
  <c r="AD250" i="6"/>
  <c r="W251" i="6"/>
  <c r="X251" i="6"/>
  <c r="Y251" i="6"/>
  <c r="Z251" i="6"/>
  <c r="AA251" i="6"/>
  <c r="AB251" i="6"/>
  <c r="AC251" i="6"/>
  <c r="AD251" i="6"/>
  <c r="W252" i="6"/>
  <c r="X252" i="6"/>
  <c r="Y252" i="6"/>
  <c r="Z252" i="6"/>
  <c r="AA252" i="6"/>
  <c r="AB252" i="6"/>
  <c r="AC252" i="6"/>
  <c r="AD252" i="6"/>
  <c r="W238" i="6"/>
  <c r="X238" i="6"/>
  <c r="Y238" i="6"/>
  <c r="Z238" i="6"/>
  <c r="AA238" i="6"/>
  <c r="AB238" i="6"/>
  <c r="AC238" i="6"/>
  <c r="AD238" i="6"/>
  <c r="W239" i="6"/>
  <c r="X239" i="6"/>
  <c r="Y239" i="6"/>
  <c r="Z239" i="6"/>
  <c r="AA239" i="6"/>
  <c r="AB239" i="6"/>
  <c r="AC239" i="6"/>
  <c r="AD239" i="6"/>
  <c r="W240" i="6"/>
  <c r="X240" i="6"/>
  <c r="Y240" i="6"/>
  <c r="Z240" i="6"/>
  <c r="AA240" i="6"/>
  <c r="AB240" i="6"/>
  <c r="AC240" i="6"/>
  <c r="AD240" i="6"/>
  <c r="W241" i="6"/>
  <c r="X241" i="6"/>
  <c r="Y241" i="6"/>
  <c r="Z241" i="6"/>
  <c r="AA241" i="6"/>
  <c r="AB241" i="6"/>
  <c r="AC241" i="6"/>
  <c r="AD241" i="6"/>
  <c r="W242" i="6"/>
  <c r="X242" i="6"/>
  <c r="Y242" i="6"/>
  <c r="Z242" i="6"/>
  <c r="AA242" i="6"/>
  <c r="AB242" i="6"/>
  <c r="AC242" i="6"/>
  <c r="AD242" i="6"/>
  <c r="W243" i="6"/>
  <c r="X243" i="6"/>
  <c r="Y243" i="6"/>
  <c r="Z243" i="6"/>
  <c r="AA243" i="6"/>
  <c r="AB243" i="6"/>
  <c r="AC243" i="6"/>
  <c r="AD243" i="6"/>
  <c r="L262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F138" i="6"/>
  <c r="G138" i="6"/>
  <c r="I138" i="6"/>
  <c r="D8" i="6"/>
  <c r="D138" i="6" s="1"/>
  <c r="E8" i="6"/>
  <c r="E138" i="6" s="1"/>
  <c r="F8" i="6"/>
  <c r="G8" i="6"/>
  <c r="H8" i="6"/>
  <c r="H138" i="6" s="1"/>
  <c r="C8" i="6"/>
  <c r="C138" i="6" s="1"/>
  <c r="J7" i="6"/>
  <c r="I7" i="6"/>
  <c r="D7" i="6"/>
  <c r="E7" i="6"/>
  <c r="F7" i="6"/>
  <c r="G7" i="6"/>
  <c r="H7" i="6"/>
  <c r="C7" i="6"/>
  <c r="C137" i="6" s="1"/>
  <c r="D137" i="6"/>
  <c r="E137" i="6"/>
  <c r="F137" i="6"/>
  <c r="G137" i="6"/>
  <c r="H137" i="6"/>
  <c r="I137" i="6"/>
  <c r="J137" i="6"/>
  <c r="BA249" i="6"/>
  <c r="AZ249" i="6"/>
  <c r="AY249" i="6"/>
  <c r="AX249" i="6"/>
  <c r="AW249" i="6"/>
  <c r="AV249" i="6"/>
  <c r="AU249" i="6"/>
  <c r="AT249" i="6"/>
  <c r="AS249" i="6"/>
  <c r="BA248" i="6"/>
  <c r="AZ248" i="6"/>
  <c r="AY248" i="6"/>
  <c r="AX248" i="6"/>
  <c r="AW248" i="6"/>
  <c r="AV248" i="6"/>
  <c r="AU248" i="6"/>
  <c r="AT248" i="6"/>
  <c r="AS248" i="6"/>
  <c r="BA245" i="6"/>
  <c r="AZ245" i="6"/>
  <c r="AY245" i="6"/>
  <c r="AX245" i="6"/>
  <c r="AW245" i="6"/>
  <c r="AV245" i="6"/>
  <c r="AU245" i="6"/>
  <c r="AT245" i="6"/>
  <c r="AS245" i="6"/>
  <c r="BA244" i="6"/>
  <c r="AZ244" i="6"/>
  <c r="AY244" i="6"/>
  <c r="AX244" i="6"/>
  <c r="AW244" i="6"/>
  <c r="AV244" i="6"/>
  <c r="AU244" i="6"/>
  <c r="AT244" i="6"/>
  <c r="AS244" i="6"/>
  <c r="V10" i="5" l="1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Y27" i="5" l="1"/>
  <c r="V27" i="5"/>
  <c r="AB27" i="5"/>
  <c r="AB26" i="5"/>
  <c r="Y28" i="5" l="1"/>
  <c r="AB28" i="5"/>
  <c r="V28" i="5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13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9" i="6"/>
  <c r="AD237" i="6"/>
  <c r="AC237" i="6"/>
  <c r="AB237" i="6"/>
  <c r="AA237" i="6"/>
  <c r="Z237" i="6"/>
  <c r="Y237" i="6"/>
  <c r="X237" i="6"/>
  <c r="W237" i="6"/>
  <c r="AD236" i="6"/>
  <c r="AC236" i="6"/>
  <c r="AB236" i="6"/>
  <c r="AA236" i="6"/>
  <c r="Z236" i="6"/>
  <c r="Y236" i="6"/>
  <c r="X236" i="6"/>
  <c r="W236" i="6"/>
  <c r="AD235" i="6"/>
  <c r="AC235" i="6"/>
  <c r="AB235" i="6"/>
  <c r="AA235" i="6"/>
  <c r="Z235" i="6"/>
  <c r="Y235" i="6"/>
  <c r="X235" i="6"/>
  <c r="W235" i="6"/>
  <c r="AD234" i="6"/>
  <c r="AC234" i="6"/>
  <c r="AB234" i="6"/>
  <c r="AA234" i="6"/>
  <c r="Z234" i="6"/>
  <c r="Y234" i="6"/>
  <c r="X234" i="6"/>
  <c r="W234" i="6"/>
  <c r="AD233" i="6"/>
  <c r="AC233" i="6"/>
  <c r="AB233" i="6"/>
  <c r="AA233" i="6"/>
  <c r="Z233" i="6"/>
  <c r="Y233" i="6"/>
  <c r="X233" i="6"/>
  <c r="W233" i="6"/>
  <c r="AD232" i="6"/>
  <c r="AC232" i="6"/>
  <c r="AB232" i="6"/>
  <c r="AA232" i="6"/>
  <c r="Z232" i="6"/>
  <c r="Y232" i="6"/>
  <c r="X232" i="6"/>
  <c r="W232" i="6"/>
  <c r="AD231" i="6"/>
  <c r="AC231" i="6"/>
  <c r="AB231" i="6"/>
  <c r="AA231" i="6"/>
  <c r="Z231" i="6"/>
  <c r="Y231" i="6"/>
  <c r="X231" i="6"/>
  <c r="W231" i="6"/>
  <c r="AD230" i="6"/>
  <c r="AC230" i="6"/>
  <c r="AB230" i="6"/>
  <c r="AA230" i="6"/>
  <c r="Z230" i="6"/>
  <c r="Y230" i="6"/>
  <c r="X230" i="6"/>
  <c r="W230" i="6"/>
  <c r="AD229" i="6"/>
  <c r="AC229" i="6"/>
  <c r="AB229" i="6"/>
  <c r="AA229" i="6"/>
  <c r="Z229" i="6"/>
  <c r="Y229" i="6"/>
  <c r="X229" i="6"/>
  <c r="W229" i="6"/>
  <c r="AD228" i="6"/>
  <c r="AC228" i="6"/>
  <c r="AB228" i="6"/>
  <c r="AA228" i="6"/>
  <c r="Z228" i="6"/>
  <c r="Y228" i="6"/>
  <c r="X228" i="6"/>
  <c r="W228" i="6"/>
  <c r="AD227" i="6"/>
  <c r="AC227" i="6"/>
  <c r="AB227" i="6"/>
  <c r="AA227" i="6"/>
  <c r="Z227" i="6"/>
  <c r="Y227" i="6"/>
  <c r="X227" i="6"/>
  <c r="W227" i="6"/>
  <c r="AD226" i="6"/>
  <c r="AC226" i="6"/>
  <c r="AB226" i="6"/>
  <c r="AA226" i="6"/>
  <c r="Z226" i="6"/>
  <c r="Y226" i="6"/>
  <c r="X226" i="6"/>
  <c r="W226" i="6"/>
  <c r="AD225" i="6"/>
  <c r="AC225" i="6"/>
  <c r="AB225" i="6"/>
  <c r="AA225" i="6"/>
  <c r="Z225" i="6"/>
  <c r="Y225" i="6"/>
  <c r="X225" i="6"/>
  <c r="W225" i="6"/>
  <c r="AD224" i="6"/>
  <c r="AC224" i="6"/>
  <c r="AB224" i="6"/>
  <c r="AA224" i="6"/>
  <c r="Z224" i="6"/>
  <c r="Y224" i="6"/>
  <c r="X224" i="6"/>
  <c r="W224" i="6"/>
  <c r="AD223" i="6"/>
  <c r="AC223" i="6"/>
  <c r="AB223" i="6"/>
  <c r="AA223" i="6"/>
  <c r="Z223" i="6"/>
  <c r="Y223" i="6"/>
  <c r="X223" i="6"/>
  <c r="W223" i="6"/>
  <c r="AD222" i="6"/>
  <c r="AC222" i="6"/>
  <c r="AB222" i="6"/>
  <c r="AA222" i="6"/>
  <c r="Z222" i="6"/>
  <c r="Y222" i="6"/>
  <c r="X222" i="6"/>
  <c r="W222" i="6"/>
  <c r="AD221" i="6"/>
  <c r="AC221" i="6"/>
  <c r="AB221" i="6"/>
  <c r="AA221" i="6"/>
  <c r="Z221" i="6"/>
  <c r="Y221" i="6"/>
  <c r="X221" i="6"/>
  <c r="W221" i="6"/>
  <c r="AD220" i="6"/>
  <c r="AC220" i="6"/>
  <c r="AB220" i="6"/>
  <c r="AA220" i="6"/>
  <c r="Z220" i="6"/>
  <c r="Y220" i="6"/>
  <c r="X220" i="6"/>
  <c r="W220" i="6"/>
  <c r="AD219" i="6"/>
  <c r="AC219" i="6"/>
  <c r="AB219" i="6"/>
  <c r="AA219" i="6"/>
  <c r="Z219" i="6"/>
  <c r="Y219" i="6"/>
  <c r="X219" i="6"/>
  <c r="W219" i="6"/>
  <c r="AD218" i="6"/>
  <c r="AC218" i="6"/>
  <c r="AB218" i="6"/>
  <c r="AA218" i="6"/>
  <c r="Z218" i="6"/>
  <c r="Y218" i="6"/>
  <c r="X218" i="6"/>
  <c r="W218" i="6"/>
  <c r="AD217" i="6"/>
  <c r="AC217" i="6"/>
  <c r="AB217" i="6"/>
  <c r="AA217" i="6"/>
  <c r="Z217" i="6"/>
  <c r="Y217" i="6"/>
  <c r="X217" i="6"/>
  <c r="W217" i="6"/>
  <c r="AD216" i="6"/>
  <c r="AC216" i="6"/>
  <c r="AB216" i="6"/>
  <c r="AA216" i="6"/>
  <c r="Z216" i="6"/>
  <c r="Y216" i="6"/>
  <c r="X216" i="6"/>
  <c r="W216" i="6"/>
  <c r="AD215" i="6"/>
  <c r="AC215" i="6"/>
  <c r="AB215" i="6"/>
  <c r="AA215" i="6"/>
  <c r="Z215" i="6"/>
  <c r="Y215" i="6"/>
  <c r="X215" i="6"/>
  <c r="W215" i="6"/>
  <c r="AD214" i="6"/>
  <c r="AC214" i="6"/>
  <c r="AB214" i="6"/>
  <c r="AA214" i="6"/>
  <c r="Z214" i="6"/>
  <c r="Y214" i="6"/>
  <c r="X214" i="6"/>
  <c r="W214" i="6"/>
  <c r="AD213" i="6"/>
  <c r="AC213" i="6"/>
  <c r="AB213" i="6"/>
  <c r="AA213" i="6"/>
  <c r="Z213" i="6"/>
  <c r="Y213" i="6"/>
  <c r="X213" i="6"/>
  <c r="W213" i="6"/>
  <c r="AD212" i="6"/>
  <c r="AC212" i="6"/>
  <c r="AB212" i="6"/>
  <c r="AA212" i="6"/>
  <c r="Z212" i="6"/>
  <c r="Y212" i="6"/>
  <c r="X212" i="6"/>
  <c r="W212" i="6"/>
  <c r="AD211" i="6"/>
  <c r="AC211" i="6"/>
  <c r="AB211" i="6"/>
  <c r="AA211" i="6"/>
  <c r="Z211" i="6"/>
  <c r="Y211" i="6"/>
  <c r="X211" i="6"/>
  <c r="W211" i="6"/>
  <c r="AD210" i="6"/>
  <c r="AC210" i="6"/>
  <c r="AB210" i="6"/>
  <c r="AA210" i="6"/>
  <c r="Z210" i="6"/>
  <c r="Y210" i="6"/>
  <c r="X210" i="6"/>
  <c r="W210" i="6"/>
  <c r="AD209" i="6"/>
  <c r="AC209" i="6"/>
  <c r="AB209" i="6"/>
  <c r="AA209" i="6"/>
  <c r="Z209" i="6"/>
  <c r="Y209" i="6"/>
  <c r="X209" i="6"/>
  <c r="W209" i="6"/>
  <c r="AD208" i="6"/>
  <c r="AC208" i="6"/>
  <c r="AB208" i="6"/>
  <c r="AA208" i="6"/>
  <c r="Z208" i="6"/>
  <c r="Y208" i="6"/>
  <c r="X208" i="6"/>
  <c r="W208" i="6"/>
  <c r="AD207" i="6"/>
  <c r="AC207" i="6"/>
  <c r="AB207" i="6"/>
  <c r="AA207" i="6"/>
  <c r="Z207" i="6"/>
  <c r="Y207" i="6"/>
  <c r="X207" i="6"/>
  <c r="W207" i="6"/>
  <c r="AD206" i="6"/>
  <c r="AC206" i="6"/>
  <c r="AB206" i="6"/>
  <c r="AA206" i="6"/>
  <c r="Z206" i="6"/>
  <c r="Y206" i="6"/>
  <c r="X206" i="6"/>
  <c r="W206" i="6"/>
  <c r="AD205" i="6"/>
  <c r="AC205" i="6"/>
  <c r="AB205" i="6"/>
  <c r="AA205" i="6"/>
  <c r="Z205" i="6"/>
  <c r="Y205" i="6"/>
  <c r="X205" i="6"/>
  <c r="W205" i="6"/>
  <c r="AD204" i="6"/>
  <c r="AC204" i="6"/>
  <c r="AB204" i="6"/>
  <c r="AA204" i="6"/>
  <c r="Z204" i="6"/>
  <c r="Y204" i="6"/>
  <c r="X204" i="6"/>
  <c r="W204" i="6"/>
  <c r="AD203" i="6"/>
  <c r="AC203" i="6"/>
  <c r="AB203" i="6"/>
  <c r="AA203" i="6"/>
  <c r="Z203" i="6"/>
  <c r="Y203" i="6"/>
  <c r="X203" i="6"/>
  <c r="W203" i="6"/>
  <c r="AD202" i="6"/>
  <c r="AC202" i="6"/>
  <c r="AB202" i="6"/>
  <c r="AA202" i="6"/>
  <c r="Z202" i="6"/>
  <c r="Y202" i="6"/>
  <c r="X202" i="6"/>
  <c r="W202" i="6"/>
  <c r="AD201" i="6"/>
  <c r="AC201" i="6"/>
  <c r="AB201" i="6"/>
  <c r="AA201" i="6"/>
  <c r="Z201" i="6"/>
  <c r="Y201" i="6"/>
  <c r="X201" i="6"/>
  <c r="W201" i="6"/>
  <c r="AD200" i="6"/>
  <c r="AC200" i="6"/>
  <c r="AB200" i="6"/>
  <c r="AA200" i="6"/>
  <c r="Z200" i="6"/>
  <c r="Y200" i="6"/>
  <c r="X200" i="6"/>
  <c r="W200" i="6"/>
  <c r="AD199" i="6"/>
  <c r="AC199" i="6"/>
  <c r="AB199" i="6"/>
  <c r="AA199" i="6"/>
  <c r="Z199" i="6"/>
  <c r="Y199" i="6"/>
  <c r="X199" i="6"/>
  <c r="W199" i="6"/>
  <c r="AD198" i="6"/>
  <c r="AC198" i="6"/>
  <c r="AB198" i="6"/>
  <c r="AA198" i="6"/>
  <c r="Z198" i="6"/>
  <c r="Y198" i="6"/>
  <c r="X198" i="6"/>
  <c r="W198" i="6"/>
  <c r="AD197" i="6"/>
  <c r="AC197" i="6"/>
  <c r="AB197" i="6"/>
  <c r="AA197" i="6"/>
  <c r="Z197" i="6"/>
  <c r="Y197" i="6"/>
  <c r="X197" i="6"/>
  <c r="W197" i="6"/>
  <c r="AD196" i="6"/>
  <c r="AC196" i="6"/>
  <c r="AB196" i="6"/>
  <c r="AA196" i="6"/>
  <c r="Z196" i="6"/>
  <c r="Y196" i="6"/>
  <c r="X196" i="6"/>
  <c r="W196" i="6"/>
  <c r="AD195" i="6"/>
  <c r="AC195" i="6"/>
  <c r="AB195" i="6"/>
  <c r="AA195" i="6"/>
  <c r="Z195" i="6"/>
  <c r="Y195" i="6"/>
  <c r="X195" i="6"/>
  <c r="W195" i="6"/>
  <c r="AD194" i="6"/>
  <c r="AC194" i="6"/>
  <c r="AB194" i="6"/>
  <c r="AA194" i="6"/>
  <c r="Z194" i="6"/>
  <c r="Y194" i="6"/>
  <c r="X194" i="6"/>
  <c r="W194" i="6"/>
  <c r="AD193" i="6"/>
  <c r="AC193" i="6"/>
  <c r="AB193" i="6"/>
  <c r="AA193" i="6"/>
  <c r="Z193" i="6"/>
  <c r="Y193" i="6"/>
  <c r="X193" i="6"/>
  <c r="W193" i="6"/>
  <c r="AD192" i="6"/>
  <c r="AC192" i="6"/>
  <c r="AB192" i="6"/>
  <c r="AA192" i="6"/>
  <c r="Z192" i="6"/>
  <c r="Y192" i="6"/>
  <c r="X192" i="6"/>
  <c r="W192" i="6"/>
  <c r="AD191" i="6"/>
  <c r="AC191" i="6"/>
  <c r="AB191" i="6"/>
  <c r="AA191" i="6"/>
  <c r="Z191" i="6"/>
  <c r="Y191" i="6"/>
  <c r="X191" i="6"/>
  <c r="W191" i="6"/>
  <c r="AD190" i="6"/>
  <c r="AC190" i="6"/>
  <c r="AB190" i="6"/>
  <c r="AA190" i="6"/>
  <c r="Z190" i="6"/>
  <c r="Y190" i="6"/>
  <c r="X190" i="6"/>
  <c r="W190" i="6"/>
  <c r="AD189" i="6"/>
  <c r="AC189" i="6"/>
  <c r="AB189" i="6"/>
  <c r="AA189" i="6"/>
  <c r="Z189" i="6"/>
  <c r="Y189" i="6"/>
  <c r="X189" i="6"/>
  <c r="W189" i="6"/>
  <c r="AD188" i="6"/>
  <c r="AC188" i="6"/>
  <c r="AB188" i="6"/>
  <c r="AA188" i="6"/>
  <c r="Z188" i="6"/>
  <c r="Y188" i="6"/>
  <c r="X188" i="6"/>
  <c r="W188" i="6"/>
  <c r="AD187" i="6"/>
  <c r="AC187" i="6"/>
  <c r="AB187" i="6"/>
  <c r="AA187" i="6"/>
  <c r="Z187" i="6"/>
  <c r="Y187" i="6"/>
  <c r="X187" i="6"/>
  <c r="W187" i="6"/>
  <c r="AD186" i="6"/>
  <c r="AC186" i="6"/>
  <c r="AB186" i="6"/>
  <c r="AA186" i="6"/>
  <c r="Z186" i="6"/>
  <c r="Y186" i="6"/>
  <c r="X186" i="6"/>
  <c r="W186" i="6"/>
  <c r="AD185" i="6"/>
  <c r="AC185" i="6"/>
  <c r="AB185" i="6"/>
  <c r="AA185" i="6"/>
  <c r="Z185" i="6"/>
  <c r="Y185" i="6"/>
  <c r="X185" i="6"/>
  <c r="W185" i="6"/>
  <c r="AD184" i="6"/>
  <c r="AC184" i="6"/>
  <c r="AB184" i="6"/>
  <c r="AA184" i="6"/>
  <c r="Z184" i="6"/>
  <c r="Y184" i="6"/>
  <c r="X184" i="6"/>
  <c r="W184" i="6"/>
  <c r="AD183" i="6"/>
  <c r="AC183" i="6"/>
  <c r="AB183" i="6"/>
  <c r="AA183" i="6"/>
  <c r="Z183" i="6"/>
  <c r="Y183" i="6"/>
  <c r="X183" i="6"/>
  <c r="W183" i="6"/>
  <c r="AD182" i="6"/>
  <c r="AC182" i="6"/>
  <c r="AB182" i="6"/>
  <c r="AA182" i="6"/>
  <c r="Z182" i="6"/>
  <c r="Y182" i="6"/>
  <c r="X182" i="6"/>
  <c r="W182" i="6"/>
  <c r="AD181" i="6"/>
  <c r="AC181" i="6"/>
  <c r="AB181" i="6"/>
  <c r="AA181" i="6"/>
  <c r="Z181" i="6"/>
  <c r="Y181" i="6"/>
  <c r="X181" i="6"/>
  <c r="W181" i="6"/>
  <c r="AD180" i="6"/>
  <c r="AC180" i="6"/>
  <c r="AB180" i="6"/>
  <c r="AA180" i="6"/>
  <c r="Z180" i="6"/>
  <c r="Y180" i="6"/>
  <c r="X180" i="6"/>
  <c r="W180" i="6"/>
  <c r="AD179" i="6"/>
  <c r="AC179" i="6"/>
  <c r="AB179" i="6"/>
  <c r="AA179" i="6"/>
  <c r="Z179" i="6"/>
  <c r="Y179" i="6"/>
  <c r="X179" i="6"/>
  <c r="W179" i="6"/>
  <c r="AD178" i="6"/>
  <c r="AC178" i="6"/>
  <c r="AB178" i="6"/>
  <c r="AA178" i="6"/>
  <c r="Z178" i="6"/>
  <c r="Y178" i="6"/>
  <c r="X178" i="6"/>
  <c r="W178" i="6"/>
  <c r="AD177" i="6"/>
  <c r="AC177" i="6"/>
  <c r="AB177" i="6"/>
  <c r="AA177" i="6"/>
  <c r="Z177" i="6"/>
  <c r="Y177" i="6"/>
  <c r="X177" i="6"/>
  <c r="W177" i="6"/>
  <c r="AD176" i="6"/>
  <c r="AC176" i="6"/>
  <c r="AB176" i="6"/>
  <c r="AA176" i="6"/>
  <c r="Z176" i="6"/>
  <c r="Y176" i="6"/>
  <c r="X176" i="6"/>
  <c r="W176" i="6"/>
  <c r="AD175" i="6"/>
  <c r="AC175" i="6"/>
  <c r="AB175" i="6"/>
  <c r="AA175" i="6"/>
  <c r="Z175" i="6"/>
  <c r="Y175" i="6"/>
  <c r="X175" i="6"/>
  <c r="W175" i="6"/>
  <c r="AD174" i="6"/>
  <c r="AC174" i="6"/>
  <c r="AB174" i="6"/>
  <c r="AA174" i="6"/>
  <c r="Z174" i="6"/>
  <c r="Y174" i="6"/>
  <c r="X174" i="6"/>
  <c r="W174" i="6"/>
  <c r="AD173" i="6"/>
  <c r="AC173" i="6"/>
  <c r="AB173" i="6"/>
  <c r="AA173" i="6"/>
  <c r="Z173" i="6"/>
  <c r="Y173" i="6"/>
  <c r="X173" i="6"/>
  <c r="W173" i="6"/>
  <c r="AD172" i="6"/>
  <c r="AC172" i="6"/>
  <c r="AB172" i="6"/>
  <c r="AA172" i="6"/>
  <c r="Z172" i="6"/>
  <c r="Y172" i="6"/>
  <c r="X172" i="6"/>
  <c r="W172" i="6"/>
  <c r="AD171" i="6"/>
  <c r="AC171" i="6"/>
  <c r="AB171" i="6"/>
  <c r="AA171" i="6"/>
  <c r="Z171" i="6"/>
  <c r="Y171" i="6"/>
  <c r="X171" i="6"/>
  <c r="W171" i="6"/>
  <c r="AD170" i="6"/>
  <c r="AC170" i="6"/>
  <c r="AB170" i="6"/>
  <c r="AA170" i="6"/>
  <c r="Z170" i="6"/>
  <c r="Y170" i="6"/>
  <c r="X170" i="6"/>
  <c r="W170" i="6"/>
  <c r="AD169" i="6"/>
  <c r="AC169" i="6"/>
  <c r="AB169" i="6"/>
  <c r="AA169" i="6"/>
  <c r="Z169" i="6"/>
  <c r="Y169" i="6"/>
  <c r="X169" i="6"/>
  <c r="W169" i="6"/>
  <c r="AD168" i="6"/>
  <c r="AC168" i="6"/>
  <c r="AB168" i="6"/>
  <c r="AA168" i="6"/>
  <c r="Z168" i="6"/>
  <c r="Y168" i="6"/>
  <c r="X168" i="6"/>
  <c r="W168" i="6"/>
  <c r="AD167" i="6"/>
  <c r="AC167" i="6"/>
  <c r="AB167" i="6"/>
  <c r="AA167" i="6"/>
  <c r="Z167" i="6"/>
  <c r="Y167" i="6"/>
  <c r="X167" i="6"/>
  <c r="W167" i="6"/>
  <c r="AD166" i="6"/>
  <c r="AC166" i="6"/>
  <c r="AB166" i="6"/>
  <c r="AA166" i="6"/>
  <c r="Z166" i="6"/>
  <c r="Y166" i="6"/>
  <c r="X166" i="6"/>
  <c r="W166" i="6"/>
  <c r="AD165" i="6"/>
  <c r="AC165" i="6"/>
  <c r="AB165" i="6"/>
  <c r="AA165" i="6"/>
  <c r="Z165" i="6"/>
  <c r="Y165" i="6"/>
  <c r="X165" i="6"/>
  <c r="W165" i="6"/>
  <c r="AD164" i="6"/>
  <c r="AC164" i="6"/>
  <c r="AB164" i="6"/>
  <c r="AA164" i="6"/>
  <c r="Z164" i="6"/>
  <c r="Y164" i="6"/>
  <c r="X164" i="6"/>
  <c r="W164" i="6"/>
  <c r="AD163" i="6"/>
  <c r="AC163" i="6"/>
  <c r="AB163" i="6"/>
  <c r="AA163" i="6"/>
  <c r="Z163" i="6"/>
  <c r="Y163" i="6"/>
  <c r="X163" i="6"/>
  <c r="W163" i="6"/>
  <c r="AD162" i="6"/>
  <c r="AC162" i="6"/>
  <c r="AB162" i="6"/>
  <c r="AA162" i="6"/>
  <c r="Z162" i="6"/>
  <c r="Y162" i="6"/>
  <c r="X162" i="6"/>
  <c r="W162" i="6"/>
  <c r="AD161" i="6"/>
  <c r="AC161" i="6"/>
  <c r="AB161" i="6"/>
  <c r="AA161" i="6"/>
  <c r="Z161" i="6"/>
  <c r="Y161" i="6"/>
  <c r="X161" i="6"/>
  <c r="W161" i="6"/>
  <c r="AD160" i="6"/>
  <c r="AC160" i="6"/>
  <c r="AB160" i="6"/>
  <c r="AA160" i="6"/>
  <c r="Z160" i="6"/>
  <c r="Y160" i="6"/>
  <c r="X160" i="6"/>
  <c r="W160" i="6"/>
  <c r="AD159" i="6"/>
  <c r="AC159" i="6"/>
  <c r="AB159" i="6"/>
  <c r="AA159" i="6"/>
  <c r="Z159" i="6"/>
  <c r="Y159" i="6"/>
  <c r="X159" i="6"/>
  <c r="W159" i="6"/>
  <c r="AD158" i="6"/>
  <c r="AC158" i="6"/>
  <c r="AB158" i="6"/>
  <c r="AA158" i="6"/>
  <c r="Z158" i="6"/>
  <c r="Y158" i="6"/>
  <c r="X158" i="6"/>
  <c r="W158" i="6"/>
  <c r="AD157" i="6"/>
  <c r="AC157" i="6"/>
  <c r="AB157" i="6"/>
  <c r="AA157" i="6"/>
  <c r="Z157" i="6"/>
  <c r="Y157" i="6"/>
  <c r="X157" i="6"/>
  <c r="W157" i="6"/>
  <c r="AD156" i="6"/>
  <c r="AC156" i="6"/>
  <c r="AB156" i="6"/>
  <c r="AA156" i="6"/>
  <c r="Z156" i="6"/>
  <c r="Y156" i="6"/>
  <c r="X156" i="6"/>
  <c r="W156" i="6"/>
  <c r="AD155" i="6"/>
  <c r="AC155" i="6"/>
  <c r="AB155" i="6"/>
  <c r="AA155" i="6"/>
  <c r="Z155" i="6"/>
  <c r="Y155" i="6"/>
  <c r="X155" i="6"/>
  <c r="W155" i="6"/>
  <c r="AD154" i="6"/>
  <c r="AC154" i="6"/>
  <c r="AB154" i="6"/>
  <c r="AA154" i="6"/>
  <c r="Z154" i="6"/>
  <c r="Y154" i="6"/>
  <c r="X154" i="6"/>
  <c r="W154" i="6"/>
  <c r="AD153" i="6"/>
  <c r="AC153" i="6"/>
  <c r="AB153" i="6"/>
  <c r="AA153" i="6"/>
  <c r="Z153" i="6"/>
  <c r="Y153" i="6"/>
  <c r="X153" i="6"/>
  <c r="W153" i="6"/>
  <c r="AD152" i="6"/>
  <c r="AC152" i="6"/>
  <c r="AB152" i="6"/>
  <c r="AA152" i="6"/>
  <c r="Z152" i="6"/>
  <c r="Y152" i="6"/>
  <c r="X152" i="6"/>
  <c r="W152" i="6"/>
  <c r="AD151" i="6"/>
  <c r="AC151" i="6"/>
  <c r="AB151" i="6"/>
  <c r="AA151" i="6"/>
  <c r="Z151" i="6"/>
  <c r="Y151" i="6"/>
  <c r="X151" i="6"/>
  <c r="W151" i="6"/>
  <c r="AD150" i="6"/>
  <c r="AC150" i="6"/>
  <c r="AB150" i="6"/>
  <c r="AA150" i="6"/>
  <c r="Z150" i="6"/>
  <c r="Y150" i="6"/>
  <c r="X150" i="6"/>
  <c r="W150" i="6"/>
  <c r="AD149" i="6"/>
  <c r="AC149" i="6"/>
  <c r="AB149" i="6"/>
  <c r="AA149" i="6"/>
  <c r="Z149" i="6"/>
  <c r="Y149" i="6"/>
  <c r="X149" i="6"/>
  <c r="W149" i="6"/>
  <c r="AD148" i="6"/>
  <c r="AC148" i="6"/>
  <c r="AB148" i="6"/>
  <c r="AA148" i="6"/>
  <c r="Z148" i="6"/>
  <c r="Y148" i="6"/>
  <c r="X148" i="6"/>
  <c r="W148" i="6"/>
  <c r="AD147" i="6"/>
  <c r="AC147" i="6"/>
  <c r="AB147" i="6"/>
  <c r="AA147" i="6"/>
  <c r="Z147" i="6"/>
  <c r="Y147" i="6"/>
  <c r="X147" i="6"/>
  <c r="W147" i="6"/>
  <c r="AD146" i="6"/>
  <c r="AC146" i="6"/>
  <c r="AB146" i="6"/>
  <c r="AA146" i="6"/>
  <c r="Z146" i="6"/>
  <c r="Y146" i="6"/>
  <c r="X146" i="6"/>
  <c r="W146" i="6"/>
  <c r="AD145" i="6"/>
  <c r="AC145" i="6"/>
  <c r="AB145" i="6"/>
  <c r="AA145" i="6"/>
  <c r="Z145" i="6"/>
  <c r="Y145" i="6"/>
  <c r="X145" i="6"/>
  <c r="W145" i="6"/>
  <c r="AD144" i="6"/>
  <c r="AC144" i="6"/>
  <c r="AB144" i="6"/>
  <c r="AA144" i="6"/>
  <c r="Z144" i="6"/>
  <c r="Y144" i="6"/>
  <c r="X144" i="6"/>
  <c r="W144" i="6"/>
  <c r="AD143" i="6"/>
  <c r="AC143" i="6"/>
  <c r="AB143" i="6"/>
  <c r="AA143" i="6"/>
  <c r="Z143" i="6"/>
  <c r="Y143" i="6"/>
  <c r="X143" i="6"/>
  <c r="W143" i="6"/>
  <c r="AD142" i="6"/>
  <c r="AC142" i="6"/>
  <c r="AB142" i="6"/>
  <c r="AA142" i="6"/>
  <c r="Z142" i="6"/>
  <c r="Y142" i="6"/>
  <c r="X142" i="6"/>
  <c r="W142" i="6"/>
  <c r="AD141" i="6"/>
  <c r="AC141" i="6"/>
  <c r="AB141" i="6"/>
  <c r="AA141" i="6"/>
  <c r="Z141" i="6"/>
  <c r="Y141" i="6"/>
  <c r="X141" i="6"/>
  <c r="W141" i="6"/>
  <c r="AD140" i="6"/>
  <c r="AC140" i="6"/>
  <c r="AB140" i="6"/>
  <c r="AA140" i="6"/>
  <c r="Z140" i="6"/>
  <c r="Y140" i="6"/>
  <c r="X140" i="6"/>
  <c r="W140" i="6"/>
  <c r="AD139" i="6"/>
  <c r="AC139" i="6"/>
  <c r="AB139" i="6"/>
  <c r="AA139" i="6"/>
  <c r="Z139" i="6"/>
  <c r="Y139" i="6"/>
  <c r="X139" i="6"/>
  <c r="W139" i="6"/>
  <c r="AD138" i="6"/>
  <c r="AC138" i="6"/>
  <c r="AB138" i="6"/>
  <c r="AA138" i="6"/>
  <c r="Z138" i="6"/>
  <c r="Y138" i="6"/>
  <c r="X138" i="6"/>
  <c r="W138" i="6"/>
  <c r="AD137" i="6"/>
  <c r="AC137" i="6"/>
  <c r="AB137" i="6"/>
  <c r="AA137" i="6"/>
  <c r="Z137" i="6"/>
  <c r="Y137" i="6"/>
  <c r="X137" i="6"/>
  <c r="W137" i="6"/>
  <c r="K137" i="6"/>
  <c r="AD136" i="6"/>
  <c r="AC136" i="6"/>
  <c r="AB136" i="6"/>
  <c r="AA136" i="6"/>
  <c r="Z136" i="6"/>
  <c r="Y136" i="6"/>
  <c r="X136" i="6"/>
  <c r="W136" i="6"/>
  <c r="W7" i="6"/>
  <c r="X7" i="6"/>
  <c r="Y7" i="6"/>
  <c r="Z7" i="6"/>
  <c r="AA7" i="6"/>
  <c r="AB7" i="6"/>
  <c r="AC7" i="6"/>
  <c r="AD7" i="6"/>
  <c r="X6" i="6"/>
  <c r="Y6" i="6"/>
  <c r="Z6" i="6"/>
  <c r="AA6" i="6"/>
  <c r="AB6" i="6"/>
  <c r="AC6" i="6"/>
  <c r="AD6" i="6"/>
  <c r="W6" i="6"/>
  <c r="AD8" i="6"/>
  <c r="AC8" i="6"/>
  <c r="AC263" i="6" l="1"/>
  <c r="AM263" i="6" s="1"/>
  <c r="AY11" i="6" s="1"/>
  <c r="AY12" i="6" s="1"/>
  <c r="AC264" i="6"/>
  <c r="AM264" i="6" s="1"/>
  <c r="AY15" i="6" s="1"/>
  <c r="AY16" i="6" s="1"/>
  <c r="Z263" i="6"/>
  <c r="Z264" i="6"/>
  <c r="AB264" i="6"/>
  <c r="AB263" i="6"/>
  <c r="AM115" i="6"/>
  <c r="AM129" i="6"/>
  <c r="AM246" i="6"/>
  <c r="AM248" i="6"/>
  <c r="AM250" i="6"/>
  <c r="AM252" i="6"/>
  <c r="AM254" i="6"/>
  <c r="AM256" i="6"/>
  <c r="AM258" i="6"/>
  <c r="AM260" i="6"/>
  <c r="AM262" i="6"/>
  <c r="AM239" i="6"/>
  <c r="AM241" i="6"/>
  <c r="AM243" i="6"/>
  <c r="AM245" i="6"/>
  <c r="AM109" i="6"/>
  <c r="AM118" i="6"/>
  <c r="AM127" i="6"/>
  <c r="AM121" i="6"/>
  <c r="AM130" i="6"/>
  <c r="AM110" i="6"/>
  <c r="AM132" i="6"/>
  <c r="AM119" i="6"/>
  <c r="AM134" i="6"/>
  <c r="AY14" i="6" s="1"/>
  <c r="AM113" i="6"/>
  <c r="AM122" i="6"/>
  <c r="AM131" i="6"/>
  <c r="AM247" i="6"/>
  <c r="AM249" i="6"/>
  <c r="AM251" i="6"/>
  <c r="AM253" i="6"/>
  <c r="AM255" i="6"/>
  <c r="AM257" i="6"/>
  <c r="AM259" i="6"/>
  <c r="AM261" i="6"/>
  <c r="AM238" i="6"/>
  <c r="AM240" i="6"/>
  <c r="AM242" i="6"/>
  <c r="AM244" i="6"/>
  <c r="AM111" i="6"/>
  <c r="AM125" i="6"/>
  <c r="AM114" i="6"/>
  <c r="AM123" i="6"/>
  <c r="AM133" i="6"/>
  <c r="AY10" i="6" s="1"/>
  <c r="AM117" i="6"/>
  <c r="AM126" i="6"/>
  <c r="AM120" i="6"/>
  <c r="AM112" i="6"/>
  <c r="AM108" i="6"/>
  <c r="AM116" i="6"/>
  <c r="AM128" i="6"/>
  <c r="AM124" i="6"/>
  <c r="AN133" i="6"/>
  <c r="AZ10" i="6" s="1"/>
  <c r="AN112" i="6"/>
  <c r="AN115" i="6"/>
  <c r="AN246" i="6"/>
  <c r="AN248" i="6"/>
  <c r="AN250" i="6"/>
  <c r="AN252" i="6"/>
  <c r="AN254" i="6"/>
  <c r="AN256" i="6"/>
  <c r="AN258" i="6"/>
  <c r="AN260" i="6"/>
  <c r="AN262" i="6"/>
  <c r="AN239" i="6"/>
  <c r="AN241" i="6"/>
  <c r="AN243" i="6"/>
  <c r="AN245" i="6"/>
  <c r="AN124" i="6"/>
  <c r="AN127" i="6"/>
  <c r="AN116" i="6"/>
  <c r="AN119" i="6"/>
  <c r="AN134" i="6"/>
  <c r="AZ14" i="6" s="1"/>
  <c r="AN128" i="6"/>
  <c r="AN131" i="6"/>
  <c r="AN247" i="6"/>
  <c r="AN249" i="6"/>
  <c r="AN251" i="6"/>
  <c r="AN253" i="6"/>
  <c r="AN255" i="6"/>
  <c r="AN257" i="6"/>
  <c r="AN259" i="6"/>
  <c r="AN261" i="6"/>
  <c r="AN238" i="6"/>
  <c r="AN240" i="6"/>
  <c r="AN242" i="6"/>
  <c r="AN244" i="6"/>
  <c r="AN108" i="6"/>
  <c r="AN111" i="6"/>
  <c r="AN120" i="6"/>
  <c r="AN123" i="6"/>
  <c r="AN126" i="6"/>
  <c r="AN122" i="6"/>
  <c r="AN130" i="6"/>
  <c r="AN118" i="6"/>
  <c r="AN132" i="6"/>
  <c r="AN110" i="6"/>
  <c r="AN125" i="6"/>
  <c r="AN114" i="6"/>
  <c r="AN263" i="6"/>
  <c r="AZ11" i="6" s="1"/>
  <c r="AN264" i="6"/>
  <c r="AZ15" i="6" s="1"/>
  <c r="AN113" i="6"/>
  <c r="AN109" i="6"/>
  <c r="AN117" i="6"/>
  <c r="AN121" i="6"/>
  <c r="AN129" i="6"/>
  <c r="Y29" i="5"/>
  <c r="AB29" i="5"/>
  <c r="V29" i="5"/>
  <c r="AN171" i="6"/>
  <c r="AM157" i="6"/>
  <c r="AM150" i="6"/>
  <c r="AM184" i="6"/>
  <c r="AM160" i="6"/>
  <c r="AM191" i="6"/>
  <c r="AN165" i="6"/>
  <c r="AN148" i="6"/>
  <c r="AM153" i="6"/>
  <c r="AN163" i="6"/>
  <c r="AM170" i="6"/>
  <c r="AN175" i="6"/>
  <c r="AN186" i="6"/>
  <c r="AN200" i="6"/>
  <c r="AN207" i="6"/>
  <c r="AM209" i="6"/>
  <c r="AM225" i="6"/>
  <c r="AN151" i="6"/>
  <c r="AM163" i="6"/>
  <c r="AM145" i="6"/>
  <c r="AN153" i="6"/>
  <c r="AN170" i="6"/>
  <c r="AM177" i="6"/>
  <c r="AM188" i="6"/>
  <c r="AN229" i="6"/>
  <c r="AM207" i="6"/>
  <c r="AM140" i="6"/>
  <c r="AN145" i="6"/>
  <c r="AM155" i="6"/>
  <c r="AN177" i="6"/>
  <c r="AM179" i="6"/>
  <c r="AN188" i="6"/>
  <c r="AN193" i="6"/>
  <c r="AM202" i="6"/>
  <c r="AM220" i="6"/>
  <c r="AM236" i="6"/>
  <c r="AN140" i="6"/>
  <c r="AN150" i="6"/>
  <c r="AM195" i="6"/>
  <c r="AN213" i="6"/>
  <c r="AN220" i="6"/>
  <c r="AN143" i="6"/>
  <c r="AN158" i="6"/>
  <c r="AM175" i="6"/>
  <c r="AM172" i="6"/>
  <c r="AN195" i="6"/>
  <c r="AM197" i="6"/>
  <c r="AM204" i="6"/>
  <c r="AM167" i="6"/>
  <c r="AM181" i="6"/>
  <c r="AM142" i="6"/>
  <c r="AN157" i="6"/>
  <c r="AN167" i="6"/>
  <c r="AN172" i="6"/>
  <c r="AM174" i="6"/>
  <c r="AN181" i="6"/>
  <c r="AN197" i="6"/>
  <c r="AM215" i="6"/>
  <c r="AM148" i="6"/>
  <c r="AN142" i="6"/>
  <c r="AN147" i="6"/>
  <c r="AM162" i="6"/>
  <c r="AM169" i="6"/>
  <c r="AM183" i="6"/>
  <c r="AM185" i="6"/>
  <c r="AN233" i="6"/>
  <c r="AM144" i="6"/>
  <c r="AM152" i="6"/>
  <c r="AM159" i="6"/>
  <c r="AN162" i="6"/>
  <c r="AM164" i="6"/>
  <c r="AN183" i="6"/>
  <c r="AN185" i="6"/>
  <c r="AN199" i="6"/>
  <c r="AM224" i="6"/>
  <c r="AN144" i="6"/>
  <c r="AN152" i="6"/>
  <c r="AN159" i="6"/>
  <c r="AM176" i="6"/>
  <c r="AM187" i="6"/>
  <c r="AM192" i="6"/>
  <c r="AM208" i="6"/>
  <c r="AN224" i="6"/>
  <c r="AM226" i="6"/>
  <c r="AM237" i="6"/>
  <c r="AN184" i="6"/>
  <c r="AM139" i="6"/>
  <c r="AM149" i="6"/>
  <c r="AN176" i="6"/>
  <c r="AM178" i="6"/>
  <c r="AN187" i="6"/>
  <c r="AN192" i="6"/>
  <c r="AM201" i="6"/>
  <c r="AN208" i="6"/>
  <c r="AN219" i="6"/>
  <c r="AN226" i="6"/>
  <c r="AN228" i="6"/>
  <c r="AM200" i="6"/>
  <c r="AN139" i="6"/>
  <c r="AN149" i="6"/>
  <c r="AM154" i="6"/>
  <c r="AM171" i="6"/>
  <c r="AM180" i="6"/>
  <c r="AM189" i="6"/>
  <c r="AN201" i="6"/>
  <c r="AN154" i="6"/>
  <c r="AM156" i="6"/>
  <c r="AN166" i="6"/>
  <c r="AN180" i="6"/>
  <c r="AN189" i="6"/>
  <c r="AN198" i="6"/>
  <c r="AM173" i="6"/>
  <c r="AM196" i="6"/>
  <c r="AM205" i="6"/>
  <c r="AN141" i="6"/>
  <c r="AN146" i="6"/>
  <c r="AN156" i="6"/>
  <c r="AM161" i="6"/>
  <c r="AM168" i="6"/>
  <c r="AM182" i="6"/>
  <c r="AN196" i="6"/>
  <c r="AN205" i="6"/>
  <c r="AM214" i="6"/>
  <c r="AM141" i="6"/>
  <c r="AM146" i="6"/>
  <c r="AM143" i="6"/>
  <c r="AM151" i="6"/>
  <c r="AM158" i="6"/>
  <c r="AN161" i="6"/>
  <c r="AN168" i="6"/>
  <c r="AN182" i="6"/>
  <c r="AM198" i="6"/>
  <c r="AN214" i="6"/>
  <c r="AN216" i="6"/>
  <c r="AN223" i="6"/>
  <c r="AN234" i="6"/>
  <c r="AM219" i="6"/>
  <c r="AM231" i="6"/>
  <c r="AN236" i="6"/>
  <c r="AN164" i="6"/>
  <c r="AN169" i="6"/>
  <c r="AM199" i="6"/>
  <c r="AN202" i="6"/>
  <c r="AN209" i="6"/>
  <c r="AN221" i="6"/>
  <c r="AM228" i="6"/>
  <c r="AM233" i="6"/>
  <c r="AM166" i="6"/>
  <c r="AN174" i="6"/>
  <c r="AN179" i="6"/>
  <c r="AN191" i="6"/>
  <c r="AM194" i="6"/>
  <c r="AN204" i="6"/>
  <c r="AN211" i="6"/>
  <c r="AM218" i="6"/>
  <c r="AM230" i="6"/>
  <c r="AM235" i="6"/>
  <c r="AM186" i="6"/>
  <c r="AN194" i="6"/>
  <c r="AN206" i="6"/>
  <c r="AM213" i="6"/>
  <c r="AN218" i="6"/>
  <c r="AM223" i="6"/>
  <c r="AN230" i="6"/>
  <c r="AN235" i="6"/>
  <c r="AM147" i="6"/>
  <c r="AN155" i="6"/>
  <c r="AM165" i="6"/>
  <c r="AN173" i="6"/>
  <c r="AN178" i="6"/>
  <c r="AM190" i="6"/>
  <c r="AM203" i="6"/>
  <c r="AM210" i="6"/>
  <c r="AN215" i="6"/>
  <c r="AN227" i="6"/>
  <c r="AN160" i="6"/>
  <c r="AN190" i="6"/>
  <c r="AM193" i="6"/>
  <c r="AN203" i="6"/>
  <c r="AN210" i="6"/>
  <c r="AM229" i="6"/>
  <c r="AM234" i="6"/>
  <c r="AM212" i="6"/>
  <c r="AM217" i="6"/>
  <c r="AM222" i="6"/>
  <c r="AN225" i="6"/>
  <c r="AM232" i="6"/>
  <c r="AN237" i="6"/>
  <c r="AN212" i="6"/>
  <c r="AN217" i="6"/>
  <c r="AN222" i="6"/>
  <c r="AM227" i="6"/>
  <c r="AN232" i="6"/>
  <c r="AM206" i="6"/>
  <c r="AM211" i="6"/>
  <c r="AM216" i="6"/>
  <c r="AM221" i="6"/>
  <c r="AN231" i="6"/>
  <c r="Y30" i="5" l="1"/>
  <c r="AB30" i="5"/>
  <c r="V30" i="5"/>
  <c r="W9" i="6"/>
  <c r="X9" i="6"/>
  <c r="W10" i="6"/>
  <c r="X10" i="6"/>
  <c r="W11" i="6"/>
  <c r="X11" i="6"/>
  <c r="W12" i="6"/>
  <c r="X12" i="6"/>
  <c r="W13" i="6"/>
  <c r="X13" i="6"/>
  <c r="W14" i="6"/>
  <c r="X14" i="6"/>
  <c r="X8" i="6"/>
  <c r="Y8" i="6"/>
  <c r="Z8" i="6"/>
  <c r="AA8" i="6"/>
  <c r="AB8" i="6"/>
  <c r="W8" i="6"/>
  <c r="Y10" i="6"/>
  <c r="Z10" i="6"/>
  <c r="AA10" i="6"/>
  <c r="AB10" i="6"/>
  <c r="AC10" i="6"/>
  <c r="AM10" i="6" s="1"/>
  <c r="AD10" i="6"/>
  <c r="AN10" i="6" s="1"/>
  <c r="Y11" i="6"/>
  <c r="Z11" i="6"/>
  <c r="AA11" i="6"/>
  <c r="AB11" i="6"/>
  <c r="AC11" i="6"/>
  <c r="AM11" i="6" s="1"/>
  <c r="AD11" i="6"/>
  <c r="AN11" i="6" s="1"/>
  <c r="Y12" i="6"/>
  <c r="Z12" i="6"/>
  <c r="AA12" i="6"/>
  <c r="AB12" i="6"/>
  <c r="AC12" i="6"/>
  <c r="AM12" i="6" s="1"/>
  <c r="AD12" i="6"/>
  <c r="AN12" i="6" s="1"/>
  <c r="Y13" i="6"/>
  <c r="Z13" i="6"/>
  <c r="AA13" i="6"/>
  <c r="AB13" i="6"/>
  <c r="AC13" i="6"/>
  <c r="AM13" i="6" s="1"/>
  <c r="AD13" i="6"/>
  <c r="AN13" i="6" s="1"/>
  <c r="Y14" i="6"/>
  <c r="Z14" i="6"/>
  <c r="AA14" i="6"/>
  <c r="AB14" i="6"/>
  <c r="AC14" i="6"/>
  <c r="AM14" i="6" s="1"/>
  <c r="AD14" i="6"/>
  <c r="AN14" i="6" s="1"/>
  <c r="W15" i="6"/>
  <c r="X15" i="6"/>
  <c r="Y15" i="6"/>
  <c r="Z15" i="6"/>
  <c r="AA15" i="6"/>
  <c r="AB15" i="6"/>
  <c r="AC15" i="6"/>
  <c r="AM15" i="6" s="1"/>
  <c r="AD15" i="6"/>
  <c r="AN15" i="6" s="1"/>
  <c r="W16" i="6"/>
  <c r="X16" i="6"/>
  <c r="Y16" i="6"/>
  <c r="Z16" i="6"/>
  <c r="AA16" i="6"/>
  <c r="AB16" i="6"/>
  <c r="AC16" i="6"/>
  <c r="AM16" i="6" s="1"/>
  <c r="AD16" i="6"/>
  <c r="AN16" i="6" s="1"/>
  <c r="W17" i="6"/>
  <c r="X17" i="6"/>
  <c r="Y17" i="6"/>
  <c r="Z17" i="6"/>
  <c r="AA17" i="6"/>
  <c r="AB17" i="6"/>
  <c r="AC17" i="6"/>
  <c r="AM17" i="6" s="1"/>
  <c r="AD17" i="6"/>
  <c r="AN17" i="6" s="1"/>
  <c r="W18" i="6"/>
  <c r="X18" i="6"/>
  <c r="Y18" i="6"/>
  <c r="Z18" i="6"/>
  <c r="AA18" i="6"/>
  <c r="AB18" i="6"/>
  <c r="AC18" i="6"/>
  <c r="AM18" i="6" s="1"/>
  <c r="AD18" i="6"/>
  <c r="AN18" i="6" s="1"/>
  <c r="W19" i="6"/>
  <c r="X19" i="6"/>
  <c r="Y19" i="6"/>
  <c r="Z19" i="6"/>
  <c r="AA19" i="6"/>
  <c r="AB19" i="6"/>
  <c r="AC19" i="6"/>
  <c r="AM19" i="6" s="1"/>
  <c r="AD19" i="6"/>
  <c r="AN19" i="6" s="1"/>
  <c r="W20" i="6"/>
  <c r="X20" i="6"/>
  <c r="Y20" i="6"/>
  <c r="Z20" i="6"/>
  <c r="AA20" i="6"/>
  <c r="AB20" i="6"/>
  <c r="AC20" i="6"/>
  <c r="AM20" i="6" s="1"/>
  <c r="AD20" i="6"/>
  <c r="AN20" i="6" s="1"/>
  <c r="W21" i="6"/>
  <c r="X21" i="6"/>
  <c r="Y21" i="6"/>
  <c r="Z21" i="6"/>
  <c r="AA21" i="6"/>
  <c r="AB21" i="6"/>
  <c r="AC21" i="6"/>
  <c r="AM21" i="6" s="1"/>
  <c r="AD21" i="6"/>
  <c r="AN21" i="6" s="1"/>
  <c r="W22" i="6"/>
  <c r="X22" i="6"/>
  <c r="Y22" i="6"/>
  <c r="Z22" i="6"/>
  <c r="AA22" i="6"/>
  <c r="AB22" i="6"/>
  <c r="AC22" i="6"/>
  <c r="AM22" i="6" s="1"/>
  <c r="AD22" i="6"/>
  <c r="AN22" i="6" s="1"/>
  <c r="W23" i="6"/>
  <c r="X23" i="6"/>
  <c r="Y23" i="6"/>
  <c r="Z23" i="6"/>
  <c r="AA23" i="6"/>
  <c r="AB23" i="6"/>
  <c r="AC23" i="6"/>
  <c r="AM23" i="6" s="1"/>
  <c r="AD23" i="6"/>
  <c r="AN23" i="6" s="1"/>
  <c r="W24" i="6"/>
  <c r="X24" i="6"/>
  <c r="Y24" i="6"/>
  <c r="Z24" i="6"/>
  <c r="AA24" i="6"/>
  <c r="AB24" i="6"/>
  <c r="AC24" i="6"/>
  <c r="AM24" i="6" s="1"/>
  <c r="AD24" i="6"/>
  <c r="AN24" i="6" s="1"/>
  <c r="W25" i="6"/>
  <c r="X25" i="6"/>
  <c r="Y25" i="6"/>
  <c r="Z25" i="6"/>
  <c r="AA25" i="6"/>
  <c r="AB25" i="6"/>
  <c r="AC25" i="6"/>
  <c r="AM25" i="6" s="1"/>
  <c r="AD25" i="6"/>
  <c r="AN25" i="6" s="1"/>
  <c r="W26" i="6"/>
  <c r="X26" i="6"/>
  <c r="Y26" i="6"/>
  <c r="Z26" i="6"/>
  <c r="AA26" i="6"/>
  <c r="AB26" i="6"/>
  <c r="AC26" i="6"/>
  <c r="AM26" i="6" s="1"/>
  <c r="AD26" i="6"/>
  <c r="AN26" i="6" s="1"/>
  <c r="W27" i="6"/>
  <c r="X27" i="6"/>
  <c r="Y27" i="6"/>
  <c r="Z27" i="6"/>
  <c r="AA27" i="6"/>
  <c r="AB27" i="6"/>
  <c r="AC27" i="6"/>
  <c r="AM27" i="6" s="1"/>
  <c r="AD27" i="6"/>
  <c r="AN27" i="6" s="1"/>
  <c r="W28" i="6"/>
  <c r="X28" i="6"/>
  <c r="Y28" i="6"/>
  <c r="Z28" i="6"/>
  <c r="AA28" i="6"/>
  <c r="AB28" i="6"/>
  <c r="AC28" i="6"/>
  <c r="AM28" i="6" s="1"/>
  <c r="AD28" i="6"/>
  <c r="AN28" i="6" s="1"/>
  <c r="W29" i="6"/>
  <c r="X29" i="6"/>
  <c r="Y29" i="6"/>
  <c r="Z29" i="6"/>
  <c r="AA29" i="6"/>
  <c r="AB29" i="6"/>
  <c r="AC29" i="6"/>
  <c r="AM29" i="6" s="1"/>
  <c r="AD29" i="6"/>
  <c r="AN29" i="6" s="1"/>
  <c r="W30" i="6"/>
  <c r="X30" i="6"/>
  <c r="Y30" i="6"/>
  <c r="Z30" i="6"/>
  <c r="AA30" i="6"/>
  <c r="AB30" i="6"/>
  <c r="AC30" i="6"/>
  <c r="AM30" i="6" s="1"/>
  <c r="AD30" i="6"/>
  <c r="AN30" i="6" s="1"/>
  <c r="W31" i="6"/>
  <c r="X31" i="6"/>
  <c r="Y31" i="6"/>
  <c r="Z31" i="6"/>
  <c r="AA31" i="6"/>
  <c r="AB31" i="6"/>
  <c r="AC31" i="6"/>
  <c r="AM31" i="6" s="1"/>
  <c r="AD31" i="6"/>
  <c r="AN31" i="6" s="1"/>
  <c r="W32" i="6"/>
  <c r="X32" i="6"/>
  <c r="Y32" i="6"/>
  <c r="Z32" i="6"/>
  <c r="AA32" i="6"/>
  <c r="AB32" i="6"/>
  <c r="AC32" i="6"/>
  <c r="AM32" i="6" s="1"/>
  <c r="AD32" i="6"/>
  <c r="AN32" i="6" s="1"/>
  <c r="W33" i="6"/>
  <c r="X33" i="6"/>
  <c r="Y33" i="6"/>
  <c r="Z33" i="6"/>
  <c r="AA33" i="6"/>
  <c r="AB33" i="6"/>
  <c r="AC33" i="6"/>
  <c r="AM33" i="6" s="1"/>
  <c r="AD33" i="6"/>
  <c r="AN33" i="6" s="1"/>
  <c r="W34" i="6"/>
  <c r="X34" i="6"/>
  <c r="Y34" i="6"/>
  <c r="Z34" i="6"/>
  <c r="AA34" i="6"/>
  <c r="AB34" i="6"/>
  <c r="AC34" i="6"/>
  <c r="AM34" i="6" s="1"/>
  <c r="AD34" i="6"/>
  <c r="AN34" i="6" s="1"/>
  <c r="W35" i="6"/>
  <c r="X35" i="6"/>
  <c r="Y35" i="6"/>
  <c r="Z35" i="6"/>
  <c r="AA35" i="6"/>
  <c r="AB35" i="6"/>
  <c r="AC35" i="6"/>
  <c r="AM35" i="6" s="1"/>
  <c r="AD35" i="6"/>
  <c r="AN35" i="6" s="1"/>
  <c r="W36" i="6"/>
  <c r="X36" i="6"/>
  <c r="Y36" i="6"/>
  <c r="Z36" i="6"/>
  <c r="AA36" i="6"/>
  <c r="AB36" i="6"/>
  <c r="AC36" i="6"/>
  <c r="AM36" i="6" s="1"/>
  <c r="AD36" i="6"/>
  <c r="AN36" i="6" s="1"/>
  <c r="W37" i="6"/>
  <c r="X37" i="6"/>
  <c r="Y37" i="6"/>
  <c r="Z37" i="6"/>
  <c r="AA37" i="6"/>
  <c r="AB37" i="6"/>
  <c r="AC37" i="6"/>
  <c r="AM37" i="6" s="1"/>
  <c r="AD37" i="6"/>
  <c r="AN37" i="6" s="1"/>
  <c r="W38" i="6"/>
  <c r="X38" i="6"/>
  <c r="Y38" i="6"/>
  <c r="Z38" i="6"/>
  <c r="AA38" i="6"/>
  <c r="AB38" i="6"/>
  <c r="AC38" i="6"/>
  <c r="AM38" i="6" s="1"/>
  <c r="AD38" i="6"/>
  <c r="AN38" i="6" s="1"/>
  <c r="W39" i="6"/>
  <c r="X39" i="6"/>
  <c r="Y39" i="6"/>
  <c r="Z39" i="6"/>
  <c r="AA39" i="6"/>
  <c r="AB39" i="6"/>
  <c r="AC39" i="6"/>
  <c r="AM39" i="6" s="1"/>
  <c r="AD39" i="6"/>
  <c r="AN39" i="6" s="1"/>
  <c r="W40" i="6"/>
  <c r="X40" i="6"/>
  <c r="Y40" i="6"/>
  <c r="Z40" i="6"/>
  <c r="AA40" i="6"/>
  <c r="AB40" i="6"/>
  <c r="AC40" i="6"/>
  <c r="AM40" i="6" s="1"/>
  <c r="AD40" i="6"/>
  <c r="AN40" i="6" s="1"/>
  <c r="W41" i="6"/>
  <c r="X41" i="6"/>
  <c r="Y41" i="6"/>
  <c r="Z41" i="6"/>
  <c r="AA41" i="6"/>
  <c r="AB41" i="6"/>
  <c r="AC41" i="6"/>
  <c r="AM41" i="6" s="1"/>
  <c r="AD41" i="6"/>
  <c r="AN41" i="6" s="1"/>
  <c r="W42" i="6"/>
  <c r="X42" i="6"/>
  <c r="Y42" i="6"/>
  <c r="Z42" i="6"/>
  <c r="AA42" i="6"/>
  <c r="AB42" i="6"/>
  <c r="AC42" i="6"/>
  <c r="AM42" i="6" s="1"/>
  <c r="AD42" i="6"/>
  <c r="AN42" i="6" s="1"/>
  <c r="W43" i="6"/>
  <c r="X43" i="6"/>
  <c r="Y43" i="6"/>
  <c r="Z43" i="6"/>
  <c r="AA43" i="6"/>
  <c r="AB43" i="6"/>
  <c r="AC43" i="6"/>
  <c r="AM43" i="6" s="1"/>
  <c r="AD43" i="6"/>
  <c r="AN43" i="6" s="1"/>
  <c r="W44" i="6"/>
  <c r="X44" i="6"/>
  <c r="Y44" i="6"/>
  <c r="Z44" i="6"/>
  <c r="AA44" i="6"/>
  <c r="AB44" i="6"/>
  <c r="AC44" i="6"/>
  <c r="AM44" i="6" s="1"/>
  <c r="AD44" i="6"/>
  <c r="AN44" i="6" s="1"/>
  <c r="W45" i="6"/>
  <c r="X45" i="6"/>
  <c r="Y45" i="6"/>
  <c r="Z45" i="6"/>
  <c r="AA45" i="6"/>
  <c r="AB45" i="6"/>
  <c r="AC45" i="6"/>
  <c r="AM45" i="6" s="1"/>
  <c r="AD45" i="6"/>
  <c r="AN45" i="6" s="1"/>
  <c r="W46" i="6"/>
  <c r="X46" i="6"/>
  <c r="Y46" i="6"/>
  <c r="Z46" i="6"/>
  <c r="AA46" i="6"/>
  <c r="AB46" i="6"/>
  <c r="AC46" i="6"/>
  <c r="AM46" i="6" s="1"/>
  <c r="AD46" i="6"/>
  <c r="AN46" i="6" s="1"/>
  <c r="W47" i="6"/>
  <c r="X47" i="6"/>
  <c r="Y47" i="6"/>
  <c r="Z47" i="6"/>
  <c r="AA47" i="6"/>
  <c r="AB47" i="6"/>
  <c r="AC47" i="6"/>
  <c r="AM47" i="6" s="1"/>
  <c r="AD47" i="6"/>
  <c r="AN47" i="6" s="1"/>
  <c r="W48" i="6"/>
  <c r="X48" i="6"/>
  <c r="Y48" i="6"/>
  <c r="Z48" i="6"/>
  <c r="AA48" i="6"/>
  <c r="AB48" i="6"/>
  <c r="AC48" i="6"/>
  <c r="AM48" i="6" s="1"/>
  <c r="AD48" i="6"/>
  <c r="AN48" i="6" s="1"/>
  <c r="W49" i="6"/>
  <c r="X49" i="6"/>
  <c r="Y49" i="6"/>
  <c r="Z49" i="6"/>
  <c r="AA49" i="6"/>
  <c r="AB49" i="6"/>
  <c r="AC49" i="6"/>
  <c r="AM49" i="6" s="1"/>
  <c r="AD49" i="6"/>
  <c r="AN49" i="6" s="1"/>
  <c r="W50" i="6"/>
  <c r="X50" i="6"/>
  <c r="Y50" i="6"/>
  <c r="Z50" i="6"/>
  <c r="AA50" i="6"/>
  <c r="AB50" i="6"/>
  <c r="AC50" i="6"/>
  <c r="AM50" i="6" s="1"/>
  <c r="AD50" i="6"/>
  <c r="AN50" i="6" s="1"/>
  <c r="W51" i="6"/>
  <c r="X51" i="6"/>
  <c r="Y51" i="6"/>
  <c r="Z51" i="6"/>
  <c r="AA51" i="6"/>
  <c r="AB51" i="6"/>
  <c r="AC51" i="6"/>
  <c r="AM51" i="6" s="1"/>
  <c r="AD51" i="6"/>
  <c r="AN51" i="6" s="1"/>
  <c r="W52" i="6"/>
  <c r="X52" i="6"/>
  <c r="Y52" i="6"/>
  <c r="Z52" i="6"/>
  <c r="AA52" i="6"/>
  <c r="AB52" i="6"/>
  <c r="AC52" i="6"/>
  <c r="AM52" i="6" s="1"/>
  <c r="AD52" i="6"/>
  <c r="AN52" i="6" s="1"/>
  <c r="W53" i="6"/>
  <c r="X53" i="6"/>
  <c r="Y53" i="6"/>
  <c r="Z53" i="6"/>
  <c r="AA53" i="6"/>
  <c r="AB53" i="6"/>
  <c r="AC53" i="6"/>
  <c r="AM53" i="6" s="1"/>
  <c r="AD53" i="6"/>
  <c r="AN53" i="6" s="1"/>
  <c r="W54" i="6"/>
  <c r="X54" i="6"/>
  <c r="Y54" i="6"/>
  <c r="Z54" i="6"/>
  <c r="AA54" i="6"/>
  <c r="AB54" i="6"/>
  <c r="AC54" i="6"/>
  <c r="AM54" i="6" s="1"/>
  <c r="AD54" i="6"/>
  <c r="AN54" i="6" s="1"/>
  <c r="W55" i="6"/>
  <c r="X55" i="6"/>
  <c r="Y55" i="6"/>
  <c r="Z55" i="6"/>
  <c r="AA55" i="6"/>
  <c r="AB55" i="6"/>
  <c r="AC55" i="6"/>
  <c r="AM55" i="6" s="1"/>
  <c r="AD55" i="6"/>
  <c r="AN55" i="6" s="1"/>
  <c r="W56" i="6"/>
  <c r="X56" i="6"/>
  <c r="Y56" i="6"/>
  <c r="Z56" i="6"/>
  <c r="AA56" i="6"/>
  <c r="AB56" i="6"/>
  <c r="AC56" i="6"/>
  <c r="AM56" i="6" s="1"/>
  <c r="AD56" i="6"/>
  <c r="AN56" i="6" s="1"/>
  <c r="W57" i="6"/>
  <c r="X57" i="6"/>
  <c r="Y57" i="6"/>
  <c r="Z57" i="6"/>
  <c r="AA57" i="6"/>
  <c r="AB57" i="6"/>
  <c r="AC57" i="6"/>
  <c r="AM57" i="6" s="1"/>
  <c r="AD57" i="6"/>
  <c r="AN57" i="6" s="1"/>
  <c r="W58" i="6"/>
  <c r="X58" i="6"/>
  <c r="Y58" i="6"/>
  <c r="Z58" i="6"/>
  <c r="AA58" i="6"/>
  <c r="AB58" i="6"/>
  <c r="AC58" i="6"/>
  <c r="AM58" i="6" s="1"/>
  <c r="AD58" i="6"/>
  <c r="AN58" i="6" s="1"/>
  <c r="W59" i="6"/>
  <c r="X59" i="6"/>
  <c r="Y59" i="6"/>
  <c r="Z59" i="6"/>
  <c r="AA59" i="6"/>
  <c r="AB59" i="6"/>
  <c r="AC59" i="6"/>
  <c r="AM59" i="6" s="1"/>
  <c r="AD59" i="6"/>
  <c r="AN59" i="6" s="1"/>
  <c r="W60" i="6"/>
  <c r="X60" i="6"/>
  <c r="Y60" i="6"/>
  <c r="Z60" i="6"/>
  <c r="AA60" i="6"/>
  <c r="AB60" i="6"/>
  <c r="AC60" i="6"/>
  <c r="AM60" i="6" s="1"/>
  <c r="AD60" i="6"/>
  <c r="AN60" i="6" s="1"/>
  <c r="W61" i="6"/>
  <c r="X61" i="6"/>
  <c r="Y61" i="6"/>
  <c r="Z61" i="6"/>
  <c r="AA61" i="6"/>
  <c r="AB61" i="6"/>
  <c r="AC61" i="6"/>
  <c r="AM61" i="6" s="1"/>
  <c r="AD61" i="6"/>
  <c r="AN61" i="6" s="1"/>
  <c r="W62" i="6"/>
  <c r="X62" i="6"/>
  <c r="Y62" i="6"/>
  <c r="Z62" i="6"/>
  <c r="AA62" i="6"/>
  <c r="AB62" i="6"/>
  <c r="AC62" i="6"/>
  <c r="AM62" i="6" s="1"/>
  <c r="AD62" i="6"/>
  <c r="AN62" i="6" s="1"/>
  <c r="W63" i="6"/>
  <c r="X63" i="6"/>
  <c r="Y63" i="6"/>
  <c r="Z63" i="6"/>
  <c r="AA63" i="6"/>
  <c r="AB63" i="6"/>
  <c r="AC63" i="6"/>
  <c r="AM63" i="6" s="1"/>
  <c r="AD63" i="6"/>
  <c r="AN63" i="6" s="1"/>
  <c r="W64" i="6"/>
  <c r="X64" i="6"/>
  <c r="Y64" i="6"/>
  <c r="Z64" i="6"/>
  <c r="AA64" i="6"/>
  <c r="AB64" i="6"/>
  <c r="AC64" i="6"/>
  <c r="AM64" i="6" s="1"/>
  <c r="AD64" i="6"/>
  <c r="AN64" i="6" s="1"/>
  <c r="W65" i="6"/>
  <c r="X65" i="6"/>
  <c r="Y65" i="6"/>
  <c r="Z65" i="6"/>
  <c r="AA65" i="6"/>
  <c r="AB65" i="6"/>
  <c r="AC65" i="6"/>
  <c r="AM65" i="6" s="1"/>
  <c r="AD65" i="6"/>
  <c r="AN65" i="6" s="1"/>
  <c r="W66" i="6"/>
  <c r="X66" i="6"/>
  <c r="Y66" i="6"/>
  <c r="Z66" i="6"/>
  <c r="AA66" i="6"/>
  <c r="AB66" i="6"/>
  <c r="AC66" i="6"/>
  <c r="AM66" i="6" s="1"/>
  <c r="AD66" i="6"/>
  <c r="AN66" i="6" s="1"/>
  <c r="W67" i="6"/>
  <c r="X67" i="6"/>
  <c r="Y67" i="6"/>
  <c r="Z67" i="6"/>
  <c r="AA67" i="6"/>
  <c r="AB67" i="6"/>
  <c r="AC67" i="6"/>
  <c r="AM67" i="6" s="1"/>
  <c r="AD67" i="6"/>
  <c r="AN67" i="6" s="1"/>
  <c r="W68" i="6"/>
  <c r="X68" i="6"/>
  <c r="Y68" i="6"/>
  <c r="Z68" i="6"/>
  <c r="AA68" i="6"/>
  <c r="AB68" i="6"/>
  <c r="AC68" i="6"/>
  <c r="AM68" i="6" s="1"/>
  <c r="AD68" i="6"/>
  <c r="AN68" i="6" s="1"/>
  <c r="W69" i="6"/>
  <c r="X69" i="6"/>
  <c r="Y69" i="6"/>
  <c r="Z69" i="6"/>
  <c r="AA69" i="6"/>
  <c r="AB69" i="6"/>
  <c r="AC69" i="6"/>
  <c r="AM69" i="6" s="1"/>
  <c r="AD69" i="6"/>
  <c r="AN69" i="6" s="1"/>
  <c r="W70" i="6"/>
  <c r="X70" i="6"/>
  <c r="Y70" i="6"/>
  <c r="Z70" i="6"/>
  <c r="AA70" i="6"/>
  <c r="AB70" i="6"/>
  <c r="AC70" i="6"/>
  <c r="AM70" i="6" s="1"/>
  <c r="AD70" i="6"/>
  <c r="AN70" i="6" s="1"/>
  <c r="W71" i="6"/>
  <c r="X71" i="6"/>
  <c r="Y71" i="6"/>
  <c r="Z71" i="6"/>
  <c r="AA71" i="6"/>
  <c r="AB71" i="6"/>
  <c r="AC71" i="6"/>
  <c r="AM71" i="6" s="1"/>
  <c r="AD71" i="6"/>
  <c r="AN71" i="6" s="1"/>
  <c r="W72" i="6"/>
  <c r="X72" i="6"/>
  <c r="Y72" i="6"/>
  <c r="Z72" i="6"/>
  <c r="AA72" i="6"/>
  <c r="AB72" i="6"/>
  <c r="AC72" i="6"/>
  <c r="AM72" i="6" s="1"/>
  <c r="AD72" i="6"/>
  <c r="AN72" i="6" s="1"/>
  <c r="W73" i="6"/>
  <c r="X73" i="6"/>
  <c r="Y73" i="6"/>
  <c r="Z73" i="6"/>
  <c r="AA73" i="6"/>
  <c r="AB73" i="6"/>
  <c r="AC73" i="6"/>
  <c r="AM73" i="6" s="1"/>
  <c r="AD73" i="6"/>
  <c r="AN73" i="6" s="1"/>
  <c r="W74" i="6"/>
  <c r="X74" i="6"/>
  <c r="Y74" i="6"/>
  <c r="Z74" i="6"/>
  <c r="AA74" i="6"/>
  <c r="AB74" i="6"/>
  <c r="AC74" i="6"/>
  <c r="AM74" i="6" s="1"/>
  <c r="AD74" i="6"/>
  <c r="AN74" i="6" s="1"/>
  <c r="W75" i="6"/>
  <c r="X75" i="6"/>
  <c r="Y75" i="6"/>
  <c r="Z75" i="6"/>
  <c r="AA75" i="6"/>
  <c r="AB75" i="6"/>
  <c r="AC75" i="6"/>
  <c r="AM75" i="6" s="1"/>
  <c r="AD75" i="6"/>
  <c r="AN75" i="6" s="1"/>
  <c r="W76" i="6"/>
  <c r="X76" i="6"/>
  <c r="Y76" i="6"/>
  <c r="AI76" i="6" s="1"/>
  <c r="Z76" i="6"/>
  <c r="AA76" i="6"/>
  <c r="AB76" i="6"/>
  <c r="AC76" i="6"/>
  <c r="AM76" i="6" s="1"/>
  <c r="AD76" i="6"/>
  <c r="AN76" i="6" s="1"/>
  <c r="W77" i="6"/>
  <c r="X77" i="6"/>
  <c r="Y77" i="6"/>
  <c r="AI77" i="6" s="1"/>
  <c r="Z77" i="6"/>
  <c r="AA77" i="6"/>
  <c r="AB77" i="6"/>
  <c r="AC77" i="6"/>
  <c r="AM77" i="6" s="1"/>
  <c r="AD77" i="6"/>
  <c r="AN77" i="6" s="1"/>
  <c r="W78" i="6"/>
  <c r="X78" i="6"/>
  <c r="Y78" i="6"/>
  <c r="AI78" i="6" s="1"/>
  <c r="Z78" i="6"/>
  <c r="AA78" i="6"/>
  <c r="AB78" i="6"/>
  <c r="AC78" i="6"/>
  <c r="AM78" i="6" s="1"/>
  <c r="AD78" i="6"/>
  <c r="AN78" i="6" s="1"/>
  <c r="W79" i="6"/>
  <c r="X79" i="6"/>
  <c r="Y79" i="6"/>
  <c r="AI79" i="6" s="1"/>
  <c r="Z79" i="6"/>
  <c r="AA79" i="6"/>
  <c r="AB79" i="6"/>
  <c r="AC79" i="6"/>
  <c r="AM79" i="6" s="1"/>
  <c r="AD79" i="6"/>
  <c r="AN79" i="6" s="1"/>
  <c r="W80" i="6"/>
  <c r="X80" i="6"/>
  <c r="Y80" i="6"/>
  <c r="AI80" i="6" s="1"/>
  <c r="Z80" i="6"/>
  <c r="AA80" i="6"/>
  <c r="AB80" i="6"/>
  <c r="AC80" i="6"/>
  <c r="AM80" i="6" s="1"/>
  <c r="AD80" i="6"/>
  <c r="AN80" i="6" s="1"/>
  <c r="W81" i="6"/>
  <c r="X81" i="6"/>
  <c r="Y81" i="6"/>
  <c r="AI81" i="6" s="1"/>
  <c r="Z81" i="6"/>
  <c r="AA81" i="6"/>
  <c r="AB81" i="6"/>
  <c r="AC81" i="6"/>
  <c r="AM81" i="6" s="1"/>
  <c r="AD81" i="6"/>
  <c r="AN81" i="6" s="1"/>
  <c r="W82" i="6"/>
  <c r="X82" i="6"/>
  <c r="Y82" i="6"/>
  <c r="AI82" i="6" s="1"/>
  <c r="Z82" i="6"/>
  <c r="AA82" i="6"/>
  <c r="AB82" i="6"/>
  <c r="AC82" i="6"/>
  <c r="AM82" i="6" s="1"/>
  <c r="AD82" i="6"/>
  <c r="AN82" i="6" s="1"/>
  <c r="W83" i="6"/>
  <c r="X83" i="6"/>
  <c r="Y83" i="6"/>
  <c r="AI83" i="6" s="1"/>
  <c r="Z83" i="6"/>
  <c r="AA83" i="6"/>
  <c r="AB83" i="6"/>
  <c r="AC83" i="6"/>
  <c r="AM83" i="6" s="1"/>
  <c r="AD83" i="6"/>
  <c r="AN83" i="6" s="1"/>
  <c r="W84" i="6"/>
  <c r="X84" i="6"/>
  <c r="Y84" i="6"/>
  <c r="AI84" i="6" s="1"/>
  <c r="Z84" i="6"/>
  <c r="AA84" i="6"/>
  <c r="AB84" i="6"/>
  <c r="AC84" i="6"/>
  <c r="AM84" i="6" s="1"/>
  <c r="AD84" i="6"/>
  <c r="AN84" i="6" s="1"/>
  <c r="W85" i="6"/>
  <c r="X85" i="6"/>
  <c r="Y85" i="6"/>
  <c r="AI85" i="6" s="1"/>
  <c r="Z85" i="6"/>
  <c r="AA85" i="6"/>
  <c r="AB85" i="6"/>
  <c r="AC85" i="6"/>
  <c r="AM85" i="6" s="1"/>
  <c r="AD85" i="6"/>
  <c r="AN85" i="6" s="1"/>
  <c r="W86" i="6"/>
  <c r="X86" i="6"/>
  <c r="Y86" i="6"/>
  <c r="AI86" i="6" s="1"/>
  <c r="Z86" i="6"/>
  <c r="AA86" i="6"/>
  <c r="AB86" i="6"/>
  <c r="AC86" i="6"/>
  <c r="AM86" i="6" s="1"/>
  <c r="AD86" i="6"/>
  <c r="AN86" i="6" s="1"/>
  <c r="W87" i="6"/>
  <c r="X87" i="6"/>
  <c r="Y87" i="6"/>
  <c r="AI87" i="6" s="1"/>
  <c r="Z87" i="6"/>
  <c r="AA87" i="6"/>
  <c r="AB87" i="6"/>
  <c r="AC87" i="6"/>
  <c r="AM87" i="6" s="1"/>
  <c r="AD87" i="6"/>
  <c r="AN87" i="6" s="1"/>
  <c r="W88" i="6"/>
  <c r="X88" i="6"/>
  <c r="Y88" i="6"/>
  <c r="AI88" i="6" s="1"/>
  <c r="Z88" i="6"/>
  <c r="AA88" i="6"/>
  <c r="AB88" i="6"/>
  <c r="AC88" i="6"/>
  <c r="AM88" i="6" s="1"/>
  <c r="AD88" i="6"/>
  <c r="AN88" i="6" s="1"/>
  <c r="W89" i="6"/>
  <c r="X89" i="6"/>
  <c r="Y89" i="6"/>
  <c r="AI89" i="6" s="1"/>
  <c r="Z89" i="6"/>
  <c r="AA89" i="6"/>
  <c r="AB89" i="6"/>
  <c r="AC89" i="6"/>
  <c r="AM89" i="6" s="1"/>
  <c r="AD89" i="6"/>
  <c r="AN89" i="6" s="1"/>
  <c r="W90" i="6"/>
  <c r="X90" i="6"/>
  <c r="Y90" i="6"/>
  <c r="AI90" i="6" s="1"/>
  <c r="Z90" i="6"/>
  <c r="AA90" i="6"/>
  <c r="AB90" i="6"/>
  <c r="AC90" i="6"/>
  <c r="AM90" i="6" s="1"/>
  <c r="AD90" i="6"/>
  <c r="AN90" i="6" s="1"/>
  <c r="W91" i="6"/>
  <c r="X91" i="6"/>
  <c r="Y91" i="6"/>
  <c r="AI91" i="6" s="1"/>
  <c r="Z91" i="6"/>
  <c r="AA91" i="6"/>
  <c r="AB91" i="6"/>
  <c r="AC91" i="6"/>
  <c r="AM91" i="6" s="1"/>
  <c r="AD91" i="6"/>
  <c r="AN91" i="6" s="1"/>
  <c r="W92" i="6"/>
  <c r="X92" i="6"/>
  <c r="Y92" i="6"/>
  <c r="AI92" i="6" s="1"/>
  <c r="Z92" i="6"/>
  <c r="AA92" i="6"/>
  <c r="AB92" i="6"/>
  <c r="AC92" i="6"/>
  <c r="AM92" i="6" s="1"/>
  <c r="AD92" i="6"/>
  <c r="AN92" i="6" s="1"/>
  <c r="W93" i="6"/>
  <c r="X93" i="6"/>
  <c r="Y93" i="6"/>
  <c r="AI93" i="6" s="1"/>
  <c r="Z93" i="6"/>
  <c r="AA93" i="6"/>
  <c r="AB93" i="6"/>
  <c r="AC93" i="6"/>
  <c r="AM93" i="6" s="1"/>
  <c r="AD93" i="6"/>
  <c r="AN93" i="6" s="1"/>
  <c r="W94" i="6"/>
  <c r="X94" i="6"/>
  <c r="Y94" i="6"/>
  <c r="AI94" i="6" s="1"/>
  <c r="Z94" i="6"/>
  <c r="AA94" i="6"/>
  <c r="AB94" i="6"/>
  <c r="AC94" i="6"/>
  <c r="AM94" i="6" s="1"/>
  <c r="AD94" i="6"/>
  <c r="AN94" i="6" s="1"/>
  <c r="W95" i="6"/>
  <c r="X95" i="6"/>
  <c r="Y95" i="6"/>
  <c r="AI95" i="6" s="1"/>
  <c r="Z95" i="6"/>
  <c r="AA95" i="6"/>
  <c r="AB95" i="6"/>
  <c r="AC95" i="6"/>
  <c r="AM95" i="6" s="1"/>
  <c r="AD95" i="6"/>
  <c r="AN95" i="6" s="1"/>
  <c r="W96" i="6"/>
  <c r="X96" i="6"/>
  <c r="Y96" i="6"/>
  <c r="AI96" i="6" s="1"/>
  <c r="Z96" i="6"/>
  <c r="AA96" i="6"/>
  <c r="AB96" i="6"/>
  <c r="AC96" i="6"/>
  <c r="AM96" i="6" s="1"/>
  <c r="AD96" i="6"/>
  <c r="AN96" i="6" s="1"/>
  <c r="W97" i="6"/>
  <c r="X97" i="6"/>
  <c r="Y97" i="6"/>
  <c r="AI97" i="6" s="1"/>
  <c r="Z97" i="6"/>
  <c r="AA97" i="6"/>
  <c r="AB97" i="6"/>
  <c r="AC97" i="6"/>
  <c r="AM97" i="6" s="1"/>
  <c r="AD97" i="6"/>
  <c r="AN97" i="6" s="1"/>
  <c r="W98" i="6"/>
  <c r="X98" i="6"/>
  <c r="Y98" i="6"/>
  <c r="AI98" i="6" s="1"/>
  <c r="Z98" i="6"/>
  <c r="AA98" i="6"/>
  <c r="AB98" i="6"/>
  <c r="AC98" i="6"/>
  <c r="AM98" i="6" s="1"/>
  <c r="AD98" i="6"/>
  <c r="AN98" i="6" s="1"/>
  <c r="W99" i="6"/>
  <c r="X99" i="6"/>
  <c r="Y99" i="6"/>
  <c r="AI99" i="6" s="1"/>
  <c r="Z99" i="6"/>
  <c r="AA99" i="6"/>
  <c r="AB99" i="6"/>
  <c r="AC99" i="6"/>
  <c r="AM99" i="6" s="1"/>
  <c r="AD99" i="6"/>
  <c r="AN99" i="6" s="1"/>
  <c r="W100" i="6"/>
  <c r="X100" i="6"/>
  <c r="Y100" i="6"/>
  <c r="AI100" i="6" s="1"/>
  <c r="Z100" i="6"/>
  <c r="AA100" i="6"/>
  <c r="AB100" i="6"/>
  <c r="AC100" i="6"/>
  <c r="AM100" i="6" s="1"/>
  <c r="AD100" i="6"/>
  <c r="AN100" i="6" s="1"/>
  <c r="W101" i="6"/>
  <c r="X101" i="6"/>
  <c r="Y101" i="6"/>
  <c r="AI101" i="6" s="1"/>
  <c r="Z101" i="6"/>
  <c r="AA101" i="6"/>
  <c r="AB101" i="6"/>
  <c r="AC101" i="6"/>
  <c r="AM101" i="6" s="1"/>
  <c r="AD101" i="6"/>
  <c r="AN101" i="6" s="1"/>
  <c r="W102" i="6"/>
  <c r="X102" i="6"/>
  <c r="Y102" i="6"/>
  <c r="AI102" i="6" s="1"/>
  <c r="Z102" i="6"/>
  <c r="AA102" i="6"/>
  <c r="AB102" i="6"/>
  <c r="AC102" i="6"/>
  <c r="AM102" i="6" s="1"/>
  <c r="AD102" i="6"/>
  <c r="AN102" i="6" s="1"/>
  <c r="W103" i="6"/>
  <c r="X103" i="6"/>
  <c r="Y103" i="6"/>
  <c r="AI103" i="6" s="1"/>
  <c r="Z103" i="6"/>
  <c r="AA103" i="6"/>
  <c r="AB103" i="6"/>
  <c r="AC103" i="6"/>
  <c r="AM103" i="6" s="1"/>
  <c r="AD103" i="6"/>
  <c r="AN103" i="6" s="1"/>
  <c r="W104" i="6"/>
  <c r="X104" i="6"/>
  <c r="Y104" i="6"/>
  <c r="AI104" i="6" s="1"/>
  <c r="Z104" i="6"/>
  <c r="AA104" i="6"/>
  <c r="AB104" i="6"/>
  <c r="AC104" i="6"/>
  <c r="AM104" i="6" s="1"/>
  <c r="AD104" i="6"/>
  <c r="AN104" i="6" s="1"/>
  <c r="W105" i="6"/>
  <c r="X105" i="6"/>
  <c r="Y105" i="6"/>
  <c r="AI105" i="6" s="1"/>
  <c r="Z105" i="6"/>
  <c r="AA105" i="6"/>
  <c r="AB105" i="6"/>
  <c r="AC105" i="6"/>
  <c r="AM105" i="6" s="1"/>
  <c r="AD105" i="6"/>
  <c r="AN105" i="6" s="1"/>
  <c r="W106" i="6"/>
  <c r="X106" i="6"/>
  <c r="Y106" i="6"/>
  <c r="AI106" i="6" s="1"/>
  <c r="Z106" i="6"/>
  <c r="AA106" i="6"/>
  <c r="AB106" i="6"/>
  <c r="AC106" i="6"/>
  <c r="AM106" i="6" s="1"/>
  <c r="AD106" i="6"/>
  <c r="AN106" i="6" s="1"/>
  <c r="W107" i="6"/>
  <c r="X107" i="6"/>
  <c r="Y107" i="6"/>
  <c r="AI107" i="6" s="1"/>
  <c r="Z107" i="6"/>
  <c r="AA107" i="6"/>
  <c r="AB107" i="6"/>
  <c r="AC107" i="6"/>
  <c r="AM107" i="6" s="1"/>
  <c r="AD107" i="6"/>
  <c r="AN107" i="6" s="1"/>
  <c r="Y9" i="6"/>
  <c r="Z9" i="6"/>
  <c r="AA9" i="6"/>
  <c r="AB9" i="6"/>
  <c r="AC9" i="6"/>
  <c r="AM9" i="6" s="1"/>
  <c r="AD9" i="6"/>
  <c r="AN9" i="6" s="1"/>
  <c r="AA134" i="6" l="1"/>
  <c r="AK134" i="6" s="1"/>
  <c r="AW14" i="6" s="1"/>
  <c r="AW16" i="6" s="1"/>
  <c r="AA133" i="6"/>
  <c r="AK133" i="6" s="1"/>
  <c r="AW10" i="6" s="1"/>
  <c r="AW12" i="6" s="1"/>
  <c r="X134" i="6"/>
  <c r="AH134" i="6" s="1"/>
  <c r="AT14" i="6" s="1"/>
  <c r="AT16" i="6" s="1"/>
  <c r="X133" i="6"/>
  <c r="W134" i="6"/>
  <c r="W133" i="6"/>
  <c r="AI9" i="6"/>
  <c r="Y133" i="6"/>
  <c r="AI133" i="6" s="1"/>
  <c r="AU10" i="6" s="1"/>
  <c r="AU12" i="6" s="1"/>
  <c r="Y134" i="6"/>
  <c r="AI134" i="6" s="1"/>
  <c r="AU14" i="6" s="1"/>
  <c r="AU16" i="6" s="1"/>
  <c r="AB133" i="6"/>
  <c r="AL133" i="6" s="1"/>
  <c r="AX10" i="6" s="1"/>
  <c r="AB134" i="6"/>
  <c r="AL134" i="6" s="1"/>
  <c r="AX14" i="6" s="1"/>
  <c r="AL109" i="6"/>
  <c r="AL112" i="6"/>
  <c r="AL121" i="6"/>
  <c r="AL124" i="6"/>
  <c r="AL132" i="6"/>
  <c r="AL249" i="6"/>
  <c r="AL251" i="6"/>
  <c r="AL255" i="6"/>
  <c r="AL259" i="6"/>
  <c r="AL261" i="6"/>
  <c r="AL240" i="6"/>
  <c r="AL244" i="6"/>
  <c r="AL113" i="6"/>
  <c r="AL116" i="6"/>
  <c r="AL247" i="6"/>
  <c r="AL253" i="6"/>
  <c r="AL257" i="6"/>
  <c r="AL238" i="6"/>
  <c r="AL242" i="6"/>
  <c r="AL125" i="6"/>
  <c r="AL128" i="6"/>
  <c r="AL108" i="6"/>
  <c r="AL117" i="6"/>
  <c r="AL120" i="6"/>
  <c r="AL129" i="6"/>
  <c r="AL246" i="6"/>
  <c r="AL248" i="6"/>
  <c r="AL250" i="6"/>
  <c r="AL252" i="6"/>
  <c r="AL254" i="6"/>
  <c r="AL256" i="6"/>
  <c r="AL258" i="6"/>
  <c r="AL260" i="6"/>
  <c r="AL262" i="6"/>
  <c r="AL239" i="6"/>
  <c r="AL241" i="6"/>
  <c r="AL243" i="6"/>
  <c r="AL245" i="6"/>
  <c r="AL119" i="6"/>
  <c r="AL118" i="6"/>
  <c r="AL114" i="6"/>
  <c r="AL122" i="6"/>
  <c r="AL123" i="6"/>
  <c r="AL110" i="6"/>
  <c r="AL126" i="6"/>
  <c r="AL130" i="6"/>
  <c r="AL263" i="6"/>
  <c r="AX11" i="6" s="1"/>
  <c r="AL115" i="6"/>
  <c r="AL131" i="6"/>
  <c r="AL264" i="6"/>
  <c r="AX15" i="6" s="1"/>
  <c r="AL111" i="6"/>
  <c r="AL127" i="6"/>
  <c r="AK114" i="6"/>
  <c r="AK130" i="6"/>
  <c r="AK251" i="6"/>
  <c r="AK259" i="6"/>
  <c r="AK242" i="6"/>
  <c r="AK112" i="6"/>
  <c r="AK119" i="6"/>
  <c r="AK128" i="6"/>
  <c r="AK248" i="6"/>
  <c r="AK256" i="6"/>
  <c r="AK239" i="6"/>
  <c r="AK122" i="6"/>
  <c r="AK247" i="6"/>
  <c r="AK238" i="6"/>
  <c r="AK110" i="6"/>
  <c r="AK126" i="6"/>
  <c r="AK253" i="6"/>
  <c r="AK261" i="6"/>
  <c r="AK244" i="6"/>
  <c r="AK108" i="6"/>
  <c r="AK115" i="6"/>
  <c r="AK124" i="6"/>
  <c r="AK131" i="6"/>
  <c r="AK250" i="6"/>
  <c r="AK258" i="6"/>
  <c r="AK241" i="6"/>
  <c r="AK255" i="6"/>
  <c r="AK111" i="6"/>
  <c r="AK120" i="6"/>
  <c r="AK127" i="6"/>
  <c r="AK252" i="6"/>
  <c r="AK260" i="6"/>
  <c r="AK243" i="6"/>
  <c r="AK118" i="6"/>
  <c r="AK249" i="6"/>
  <c r="AK257" i="6"/>
  <c r="AK240" i="6"/>
  <c r="AK132" i="6"/>
  <c r="AK116" i="6"/>
  <c r="AK123" i="6"/>
  <c r="AK246" i="6"/>
  <c r="AK254" i="6"/>
  <c r="AK262" i="6"/>
  <c r="AK245" i="6"/>
  <c r="AK121" i="6"/>
  <c r="AK264" i="6"/>
  <c r="AW15" i="6" s="1"/>
  <c r="AK125" i="6"/>
  <c r="AK263" i="6"/>
  <c r="AW11" i="6" s="1"/>
  <c r="AK129" i="6"/>
  <c r="AK117" i="6"/>
  <c r="AK113" i="6"/>
  <c r="AK109" i="6"/>
  <c r="AJ109" i="6"/>
  <c r="AJ113" i="6"/>
  <c r="AJ117" i="6"/>
  <c r="AJ121" i="6"/>
  <c r="AJ125" i="6"/>
  <c r="AJ129" i="6"/>
  <c r="AJ248" i="6"/>
  <c r="AJ252" i="6"/>
  <c r="AJ256" i="6"/>
  <c r="AJ260" i="6"/>
  <c r="AJ239" i="6"/>
  <c r="AJ243" i="6"/>
  <c r="AJ253" i="6"/>
  <c r="AJ244" i="6"/>
  <c r="AJ133" i="6"/>
  <c r="AV10" i="6" s="1"/>
  <c r="AJ247" i="6"/>
  <c r="AJ251" i="6"/>
  <c r="AJ255" i="6"/>
  <c r="AJ259" i="6"/>
  <c r="AJ238" i="6"/>
  <c r="AJ242" i="6"/>
  <c r="AJ257" i="6"/>
  <c r="AJ240" i="6"/>
  <c r="AJ134" i="6"/>
  <c r="AV14" i="6" s="1"/>
  <c r="AJ110" i="6"/>
  <c r="AJ114" i="6"/>
  <c r="AJ118" i="6"/>
  <c r="AJ122" i="6"/>
  <c r="AJ126" i="6"/>
  <c r="AJ130" i="6"/>
  <c r="AJ246" i="6"/>
  <c r="AJ250" i="6"/>
  <c r="AJ254" i="6"/>
  <c r="AJ258" i="6"/>
  <c r="AJ262" i="6"/>
  <c r="AJ241" i="6"/>
  <c r="AJ245" i="6"/>
  <c r="AJ249" i="6"/>
  <c r="AJ261" i="6"/>
  <c r="AJ132" i="6"/>
  <c r="AJ120" i="6"/>
  <c r="AJ115" i="6"/>
  <c r="AJ124" i="6"/>
  <c r="AJ111" i="6"/>
  <c r="AJ112" i="6"/>
  <c r="AJ127" i="6"/>
  <c r="AJ123" i="6"/>
  <c r="AJ108" i="6"/>
  <c r="AJ128" i="6"/>
  <c r="AJ116" i="6"/>
  <c r="AJ263" i="6"/>
  <c r="AV11" i="6" s="1"/>
  <c r="AV12" i="6" s="1"/>
  <c r="AJ264" i="6"/>
  <c r="AV15" i="6" s="1"/>
  <c r="AV16" i="6" s="1"/>
  <c r="AJ119" i="6"/>
  <c r="AJ131" i="6"/>
  <c r="AG251" i="6"/>
  <c r="AG259" i="6"/>
  <c r="AG242" i="6"/>
  <c r="AG112" i="6"/>
  <c r="AG116" i="6"/>
  <c r="AG120" i="6"/>
  <c r="AG124" i="6"/>
  <c r="AG128" i="6"/>
  <c r="AG252" i="6"/>
  <c r="AG260" i="6"/>
  <c r="AG243" i="6"/>
  <c r="AG253" i="6"/>
  <c r="AG261" i="6"/>
  <c r="AG244" i="6"/>
  <c r="AG246" i="6"/>
  <c r="AG245" i="6"/>
  <c r="AG254" i="6"/>
  <c r="AG262" i="6"/>
  <c r="AG249" i="6"/>
  <c r="AG257" i="6"/>
  <c r="AG247" i="6"/>
  <c r="AG255" i="6"/>
  <c r="AG238" i="6"/>
  <c r="AG134" i="6"/>
  <c r="AG133" i="6"/>
  <c r="AG110" i="6"/>
  <c r="AG114" i="6"/>
  <c r="AG118" i="6"/>
  <c r="AG122" i="6"/>
  <c r="AG126" i="6"/>
  <c r="AG130" i="6"/>
  <c r="AG248" i="6"/>
  <c r="AG256" i="6"/>
  <c r="AG239" i="6"/>
  <c r="AG240" i="6"/>
  <c r="AG109" i="6"/>
  <c r="AG113" i="6"/>
  <c r="AG117" i="6"/>
  <c r="AG121" i="6"/>
  <c r="AG125" i="6"/>
  <c r="AG129" i="6"/>
  <c r="AG250" i="6"/>
  <c r="AG258" i="6"/>
  <c r="AG241" i="6"/>
  <c r="AG132" i="6"/>
  <c r="AG108" i="6"/>
  <c r="AG127" i="6"/>
  <c r="AG111" i="6"/>
  <c r="AG123" i="6"/>
  <c r="AG119" i="6"/>
  <c r="AG131" i="6"/>
  <c r="AG263" i="6"/>
  <c r="AG264" i="6"/>
  <c r="AG115" i="6"/>
  <c r="AH250" i="6"/>
  <c r="AH258" i="6"/>
  <c r="AH241" i="6"/>
  <c r="AH132" i="6"/>
  <c r="AH108" i="6"/>
  <c r="AH251" i="6"/>
  <c r="AH259" i="6"/>
  <c r="AH242" i="6"/>
  <c r="AH256" i="6"/>
  <c r="AH252" i="6"/>
  <c r="AH260" i="6"/>
  <c r="AH243" i="6"/>
  <c r="AH119" i="6"/>
  <c r="AH127" i="6"/>
  <c r="AH253" i="6"/>
  <c r="AH261" i="6"/>
  <c r="AH239" i="6"/>
  <c r="AH111" i="6"/>
  <c r="AH115" i="6"/>
  <c r="AH123" i="6"/>
  <c r="AH131" i="6"/>
  <c r="AH244" i="6"/>
  <c r="AH246" i="6"/>
  <c r="AH254" i="6"/>
  <c r="AH262" i="6"/>
  <c r="AH245" i="6"/>
  <c r="AH247" i="6"/>
  <c r="AH255" i="6"/>
  <c r="AH238" i="6"/>
  <c r="AH133" i="6"/>
  <c r="AT10" i="6" s="1"/>
  <c r="AT12" i="6" s="1"/>
  <c r="AH110" i="6"/>
  <c r="AH114" i="6"/>
  <c r="AH118" i="6"/>
  <c r="AH122" i="6"/>
  <c r="AH126" i="6"/>
  <c r="AH130" i="6"/>
  <c r="AH248" i="6"/>
  <c r="AH249" i="6"/>
  <c r="AH257" i="6"/>
  <c r="AH240" i="6"/>
  <c r="AH112" i="6"/>
  <c r="AH113" i="6"/>
  <c r="AH129" i="6"/>
  <c r="AH264" i="6"/>
  <c r="AT15" i="6" s="1"/>
  <c r="AH125" i="6"/>
  <c r="AH263" i="6"/>
  <c r="AT11" i="6" s="1"/>
  <c r="AH120" i="6"/>
  <c r="AH121" i="6"/>
  <c r="AH109" i="6"/>
  <c r="AH117" i="6"/>
  <c r="AH128" i="6"/>
  <c r="AH116" i="6"/>
  <c r="AH124" i="6"/>
  <c r="AI121" i="6"/>
  <c r="AI129" i="6"/>
  <c r="AI249" i="6"/>
  <c r="AI257" i="6"/>
  <c r="AI240" i="6"/>
  <c r="AI238" i="6"/>
  <c r="AI250" i="6"/>
  <c r="AI258" i="6"/>
  <c r="AI241" i="6"/>
  <c r="AI108" i="6"/>
  <c r="AI112" i="6"/>
  <c r="AI116" i="6"/>
  <c r="AI124" i="6"/>
  <c r="AI128" i="6"/>
  <c r="AI251" i="6"/>
  <c r="AI259" i="6"/>
  <c r="AI242" i="6"/>
  <c r="AO242" i="6" s="1"/>
  <c r="AI132" i="6"/>
  <c r="AI120" i="6"/>
  <c r="AI243" i="6"/>
  <c r="AI252" i="6"/>
  <c r="AI260" i="6"/>
  <c r="AI111" i="6"/>
  <c r="AI115" i="6"/>
  <c r="AI119" i="6"/>
  <c r="AI123" i="6"/>
  <c r="AI127" i="6"/>
  <c r="AI131" i="6"/>
  <c r="AI253" i="6"/>
  <c r="AI261" i="6"/>
  <c r="AI244" i="6"/>
  <c r="AI246" i="6"/>
  <c r="AI254" i="6"/>
  <c r="AI262" i="6"/>
  <c r="AI245" i="6"/>
  <c r="AI247" i="6"/>
  <c r="AI255" i="6"/>
  <c r="AI248" i="6"/>
  <c r="AI256" i="6"/>
  <c r="AI239" i="6"/>
  <c r="AI109" i="6"/>
  <c r="AI113" i="6"/>
  <c r="AI117" i="6"/>
  <c r="AI125" i="6"/>
  <c r="AI122" i="6"/>
  <c r="AI118" i="6"/>
  <c r="AI263" i="6"/>
  <c r="AU11" i="6" s="1"/>
  <c r="AI114" i="6"/>
  <c r="AI264" i="6"/>
  <c r="AU15" i="6" s="1"/>
  <c r="AI110" i="6"/>
  <c r="AI126" i="6"/>
  <c r="AI130" i="6"/>
  <c r="AI11" i="6"/>
  <c r="AI75" i="6"/>
  <c r="AI74" i="6"/>
  <c r="AI73" i="6"/>
  <c r="AG103" i="6"/>
  <c r="AJ9" i="6"/>
  <c r="AJ107" i="6"/>
  <c r="AJ104" i="6"/>
  <c r="AJ106" i="6"/>
  <c r="AJ105" i="6"/>
  <c r="AJ103" i="6"/>
  <c r="AJ102" i="6"/>
  <c r="AJ101" i="6"/>
  <c r="AJ100" i="6"/>
  <c r="AJ99" i="6"/>
  <c r="AJ98" i="6"/>
  <c r="AJ97" i="6"/>
  <c r="AJ96" i="6"/>
  <c r="AJ95" i="6"/>
  <c r="AJ94" i="6"/>
  <c r="AJ93" i="6"/>
  <c r="AJ92" i="6"/>
  <c r="AJ91" i="6"/>
  <c r="AJ90" i="6"/>
  <c r="AJ89" i="6"/>
  <c r="AJ88" i="6"/>
  <c r="AJ87" i="6"/>
  <c r="AJ86" i="6"/>
  <c r="AJ85" i="6"/>
  <c r="AJ84" i="6"/>
  <c r="AJ83" i="6"/>
  <c r="AJ82" i="6"/>
  <c r="AJ81" i="6"/>
  <c r="AJ80" i="6"/>
  <c r="AJ79" i="6"/>
  <c r="AJ78" i="6"/>
  <c r="AJ77" i="6"/>
  <c r="AJ76" i="6"/>
  <c r="AJ75" i="6"/>
  <c r="AJ74" i="6"/>
  <c r="AJ73" i="6"/>
  <c r="AJ72" i="6"/>
  <c r="AJ71" i="6"/>
  <c r="AJ70" i="6"/>
  <c r="AJ69" i="6"/>
  <c r="AJ68" i="6"/>
  <c r="AJ67" i="6"/>
  <c r="AJ66" i="6"/>
  <c r="AJ65" i="6"/>
  <c r="AJ64" i="6"/>
  <c r="AJ63" i="6"/>
  <c r="AJ62" i="6"/>
  <c r="AJ61" i="6"/>
  <c r="AJ60" i="6"/>
  <c r="AJ59" i="6"/>
  <c r="AJ58" i="6"/>
  <c r="AJ57" i="6"/>
  <c r="AJ56" i="6"/>
  <c r="AJ55" i="6"/>
  <c r="AJ54" i="6"/>
  <c r="AJ53" i="6"/>
  <c r="AJ52" i="6"/>
  <c r="AJ51" i="6"/>
  <c r="AJ50" i="6"/>
  <c r="AJ49" i="6"/>
  <c r="AJ48" i="6"/>
  <c r="AJ47" i="6"/>
  <c r="AJ46" i="6"/>
  <c r="AJ45" i="6"/>
  <c r="AJ44" i="6"/>
  <c r="AJ43" i="6"/>
  <c r="AJ42" i="6"/>
  <c r="AJ41" i="6"/>
  <c r="AJ40" i="6"/>
  <c r="AJ39" i="6"/>
  <c r="AJ38" i="6"/>
  <c r="AJ37" i="6"/>
  <c r="AJ36" i="6"/>
  <c r="AJ35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L104" i="6"/>
  <c r="AL100" i="6"/>
  <c r="AL97" i="6"/>
  <c r="AL94" i="6"/>
  <c r="AL90" i="6"/>
  <c r="AL88" i="6"/>
  <c r="AL83" i="6"/>
  <c r="AL81" i="6"/>
  <c r="AL78" i="6"/>
  <c r="AL76" i="6"/>
  <c r="AL73" i="6"/>
  <c r="AL71" i="6"/>
  <c r="AL69" i="6"/>
  <c r="AL66" i="6"/>
  <c r="AL57" i="6"/>
  <c r="AL107" i="6"/>
  <c r="AL103" i="6"/>
  <c r="AL99" i="6"/>
  <c r="AL95" i="6"/>
  <c r="AL92" i="6"/>
  <c r="AL89" i="6"/>
  <c r="AL84" i="6"/>
  <c r="AL82" i="6"/>
  <c r="AL79" i="6"/>
  <c r="AL75" i="6"/>
  <c r="AL72" i="6"/>
  <c r="AL70" i="6"/>
  <c r="AL68" i="6"/>
  <c r="AL67" i="6"/>
  <c r="AL65" i="6"/>
  <c r="AL64" i="6"/>
  <c r="AL63" i="6"/>
  <c r="AL62" i="6"/>
  <c r="AL61" i="6"/>
  <c r="AL59" i="6"/>
  <c r="AL56" i="6"/>
  <c r="AL55" i="6"/>
  <c r="AL54" i="6"/>
  <c r="AL53" i="6"/>
  <c r="AL52" i="6"/>
  <c r="AL51" i="6"/>
  <c r="AL50" i="6"/>
  <c r="AL49" i="6"/>
  <c r="AL48" i="6"/>
  <c r="AL47" i="6"/>
  <c r="AL46" i="6"/>
  <c r="AL45" i="6"/>
  <c r="AL44" i="6"/>
  <c r="AL43" i="6"/>
  <c r="AL42" i="6"/>
  <c r="AL41" i="6"/>
  <c r="AL40" i="6"/>
  <c r="AL39" i="6"/>
  <c r="AL38" i="6"/>
  <c r="AL37" i="6"/>
  <c r="AL36" i="6"/>
  <c r="AL35" i="6"/>
  <c r="AL34" i="6"/>
  <c r="AL33" i="6"/>
  <c r="AL32" i="6"/>
  <c r="AL31" i="6"/>
  <c r="AL30" i="6"/>
  <c r="AL29" i="6"/>
  <c r="AL28" i="6"/>
  <c r="AL27" i="6"/>
  <c r="AL26" i="6"/>
  <c r="AL25" i="6"/>
  <c r="AL24" i="6"/>
  <c r="AL102" i="6"/>
  <c r="AL86" i="6"/>
  <c r="AK107" i="6"/>
  <c r="AK106" i="6"/>
  <c r="AK105" i="6"/>
  <c r="AK104" i="6"/>
  <c r="AK103" i="6"/>
  <c r="AK102" i="6"/>
  <c r="AK101" i="6"/>
  <c r="AK100" i="6"/>
  <c r="AK99" i="6"/>
  <c r="AL105" i="6"/>
  <c r="AL98" i="6"/>
  <c r="AL93" i="6"/>
  <c r="AL87" i="6"/>
  <c r="AL80" i="6"/>
  <c r="AL74" i="6"/>
  <c r="AL60" i="6"/>
  <c r="AL106" i="6"/>
  <c r="AL101" i="6"/>
  <c r="AL96" i="6"/>
  <c r="AL91" i="6"/>
  <c r="AL85" i="6"/>
  <c r="AL77" i="6"/>
  <c r="AL58" i="6"/>
  <c r="AK9" i="6"/>
  <c r="AL12" i="6"/>
  <c r="AJ11" i="6"/>
  <c r="AK13" i="6"/>
  <c r="AJ13" i="6"/>
  <c r="AK98" i="6"/>
  <c r="AK97" i="6"/>
  <c r="AK96" i="6"/>
  <c r="AK95" i="6"/>
  <c r="AK94" i="6"/>
  <c r="AK93" i="6"/>
  <c r="AK92" i="6"/>
  <c r="AK91" i="6"/>
  <c r="AK90" i="6"/>
  <c r="AK89" i="6"/>
  <c r="AK88" i="6"/>
  <c r="AK87" i="6"/>
  <c r="AK86" i="6"/>
  <c r="AK85" i="6"/>
  <c r="AK84" i="6"/>
  <c r="AK83" i="6"/>
  <c r="AK82" i="6"/>
  <c r="AK81" i="6"/>
  <c r="AK80" i="6"/>
  <c r="AK79" i="6"/>
  <c r="AK78" i="6"/>
  <c r="AK77" i="6"/>
  <c r="AK76" i="6"/>
  <c r="AK75" i="6"/>
  <c r="AK74" i="6"/>
  <c r="AK73" i="6"/>
  <c r="AK72" i="6"/>
  <c r="AK71" i="6"/>
  <c r="AK70" i="6"/>
  <c r="AK69" i="6"/>
  <c r="AK68" i="6"/>
  <c r="AK67" i="6"/>
  <c r="AK66" i="6"/>
  <c r="AK65" i="6"/>
  <c r="AK64" i="6"/>
  <c r="AK63" i="6"/>
  <c r="AK62" i="6"/>
  <c r="AK61" i="6"/>
  <c r="AK60" i="6"/>
  <c r="AK59" i="6"/>
  <c r="AK58" i="6"/>
  <c r="AK57" i="6"/>
  <c r="AK56" i="6"/>
  <c r="AK55" i="6"/>
  <c r="AK54" i="6"/>
  <c r="AK53" i="6"/>
  <c r="AK52" i="6"/>
  <c r="AK51" i="6"/>
  <c r="AK50" i="6"/>
  <c r="AK49" i="6"/>
  <c r="AK48" i="6"/>
  <c r="AK47" i="6"/>
  <c r="AK46" i="6"/>
  <c r="AK45" i="6"/>
  <c r="AK44" i="6"/>
  <c r="AK43" i="6"/>
  <c r="AK42" i="6"/>
  <c r="AK41" i="6"/>
  <c r="AK40" i="6"/>
  <c r="AK39" i="6"/>
  <c r="AK38" i="6"/>
  <c r="AK37" i="6"/>
  <c r="AK36" i="6"/>
  <c r="AK35" i="6"/>
  <c r="AK34" i="6"/>
  <c r="AK33" i="6"/>
  <c r="AK32" i="6"/>
  <c r="AK31" i="6"/>
  <c r="AK30" i="6"/>
  <c r="AK29" i="6"/>
  <c r="AK28" i="6"/>
  <c r="AK27" i="6"/>
  <c r="AK26" i="6"/>
  <c r="AK25" i="6"/>
  <c r="AK24" i="6"/>
  <c r="AK23" i="6"/>
  <c r="AK22" i="6"/>
  <c r="AK21" i="6"/>
  <c r="AK20" i="6"/>
  <c r="AK19" i="6"/>
  <c r="AK18" i="6"/>
  <c r="AK17" i="6"/>
  <c r="AK16" i="6"/>
  <c r="AK15" i="6"/>
  <c r="AK10" i="6"/>
  <c r="AJ17" i="6"/>
  <c r="AG105" i="6"/>
  <c r="AG101" i="6"/>
  <c r="AG97" i="6"/>
  <c r="AG94" i="6"/>
  <c r="AG89" i="6"/>
  <c r="AG88" i="6"/>
  <c r="AG86" i="6"/>
  <c r="AG81" i="6"/>
  <c r="AG79" i="6"/>
  <c r="AG77" i="6"/>
  <c r="AG75" i="6"/>
  <c r="AG73" i="6"/>
  <c r="AG72" i="6"/>
  <c r="AG70" i="6"/>
  <c r="AG68" i="6"/>
  <c r="AG66" i="6"/>
  <c r="AG64" i="6"/>
  <c r="AG62" i="6"/>
  <c r="AG60" i="6"/>
  <c r="AG58" i="6"/>
  <c r="AG56" i="6"/>
  <c r="AG54" i="6"/>
  <c r="AG52" i="6"/>
  <c r="AG50" i="6"/>
  <c r="AG48" i="6"/>
  <c r="AG46" i="6"/>
  <c r="AG44" i="6"/>
  <c r="AG42" i="6"/>
  <c r="AG40" i="6"/>
  <c r="AG38" i="6"/>
  <c r="AG36" i="6"/>
  <c r="AG34" i="6"/>
  <c r="AG33" i="6"/>
  <c r="AG31" i="6"/>
  <c r="AG30" i="6"/>
  <c r="AG29" i="6"/>
  <c r="AG28" i="6"/>
  <c r="AG27" i="6"/>
  <c r="AG26" i="6"/>
  <c r="AG25" i="6"/>
  <c r="AG24" i="6"/>
  <c r="AG23" i="6"/>
  <c r="AG22" i="6"/>
  <c r="AG21" i="6"/>
  <c r="AG20" i="6"/>
  <c r="AG19" i="6"/>
  <c r="AG17" i="6"/>
  <c r="AG16" i="6"/>
  <c r="AG13" i="6"/>
  <c r="AL13" i="6"/>
  <c r="AG106" i="6"/>
  <c r="AG90" i="6"/>
  <c r="AG87" i="6"/>
  <c r="AG84" i="6"/>
  <c r="AG80" i="6"/>
  <c r="AG78" i="6"/>
  <c r="AG76" i="6"/>
  <c r="AG74" i="6"/>
  <c r="AG71" i="6"/>
  <c r="AG69" i="6"/>
  <c r="AG67" i="6"/>
  <c r="AG65" i="6"/>
  <c r="AG63" i="6"/>
  <c r="AG61" i="6"/>
  <c r="AG59" i="6"/>
  <c r="AG57" i="6"/>
  <c r="AG55" i="6"/>
  <c r="AG53" i="6"/>
  <c r="AG51" i="6"/>
  <c r="AG49" i="6"/>
  <c r="AG47" i="6"/>
  <c r="AG45" i="6"/>
  <c r="AG43" i="6"/>
  <c r="AG41" i="6"/>
  <c r="AG39" i="6"/>
  <c r="AG37" i="6"/>
  <c r="AG35" i="6"/>
  <c r="AG32" i="6"/>
  <c r="AG18" i="6"/>
  <c r="AI12" i="6"/>
  <c r="AG12" i="6"/>
  <c r="AG98" i="6"/>
  <c r="AG91" i="6"/>
  <c r="AG83" i="6"/>
  <c r="AL23" i="6"/>
  <c r="AL22" i="6"/>
  <c r="AL21" i="6"/>
  <c r="AL19" i="6"/>
  <c r="AL17" i="6"/>
  <c r="AL15" i="6"/>
  <c r="AL10" i="6"/>
  <c r="AG107" i="6"/>
  <c r="AG100" i="6"/>
  <c r="AG92" i="6"/>
  <c r="AI13" i="6"/>
  <c r="AG11" i="6"/>
  <c r="AG104" i="6"/>
  <c r="AG95" i="6"/>
  <c r="AG85" i="6"/>
  <c r="AL9" i="6"/>
  <c r="AJ15" i="6"/>
  <c r="AJ10" i="6"/>
  <c r="AG102" i="6"/>
  <c r="AG99" i="6"/>
  <c r="AG96" i="6"/>
  <c r="AG93" i="6"/>
  <c r="AG82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K11" i="6"/>
  <c r="AI10" i="6"/>
  <c r="AG14" i="6"/>
  <c r="Y31" i="5"/>
  <c r="V31" i="5"/>
  <c r="AB31" i="5"/>
  <c r="AK12" i="6"/>
  <c r="AL20" i="6"/>
  <c r="AH104" i="6"/>
  <c r="AH92" i="6"/>
  <c r="AH90" i="6"/>
  <c r="AH88" i="6"/>
  <c r="AH86" i="6"/>
  <c r="AH84" i="6"/>
  <c r="AH82" i="6"/>
  <c r="AH80" i="6"/>
  <c r="AH78" i="6"/>
  <c r="AH76" i="6"/>
  <c r="AH74" i="6"/>
  <c r="AH72" i="6"/>
  <c r="AH70" i="6"/>
  <c r="AH68" i="6"/>
  <c r="AH66" i="6"/>
  <c r="AH64" i="6"/>
  <c r="AH62" i="6"/>
  <c r="AH60" i="6"/>
  <c r="AH58" i="6"/>
  <c r="AH56" i="6"/>
  <c r="AH54" i="6"/>
  <c r="AH52" i="6"/>
  <c r="AH50" i="6"/>
  <c r="AH48" i="6"/>
  <c r="AH46" i="6"/>
  <c r="AH44" i="6"/>
  <c r="AH42" i="6"/>
  <c r="AH40" i="6"/>
  <c r="AH38" i="6"/>
  <c r="AH36" i="6"/>
  <c r="AH34" i="6"/>
  <c r="AH32" i="6"/>
  <c r="AH30" i="6"/>
  <c r="AH28" i="6"/>
  <c r="AH26" i="6"/>
  <c r="AH24" i="6"/>
  <c r="AH22" i="6"/>
  <c r="AH20" i="6"/>
  <c r="AH18" i="6"/>
  <c r="AH16" i="6"/>
  <c r="AH13" i="6"/>
  <c r="AH106" i="6"/>
  <c r="AH100" i="6"/>
  <c r="AH12" i="6"/>
  <c r="AH96" i="6"/>
  <c r="AH102" i="6"/>
  <c r="AH11" i="6"/>
  <c r="AH98" i="6"/>
  <c r="AH94" i="6"/>
  <c r="AH10" i="6"/>
  <c r="AH97" i="6"/>
  <c r="AH91" i="6"/>
  <c r="AH89" i="6"/>
  <c r="AH87" i="6"/>
  <c r="AH85" i="6"/>
  <c r="AH83" i="6"/>
  <c r="AH81" i="6"/>
  <c r="AH79" i="6"/>
  <c r="AH77" i="6"/>
  <c r="AH75" i="6"/>
  <c r="AH73" i="6"/>
  <c r="AH71" i="6"/>
  <c r="AH69" i="6"/>
  <c r="AH67" i="6"/>
  <c r="AH65" i="6"/>
  <c r="AH63" i="6"/>
  <c r="AH61" i="6"/>
  <c r="AH59" i="6"/>
  <c r="AH57" i="6"/>
  <c r="AH55" i="6"/>
  <c r="AH53" i="6"/>
  <c r="AH51" i="6"/>
  <c r="AH49" i="6"/>
  <c r="AH47" i="6"/>
  <c r="AH45" i="6"/>
  <c r="AH43" i="6"/>
  <c r="AH41" i="6"/>
  <c r="AH39" i="6"/>
  <c r="AH37" i="6"/>
  <c r="AH35" i="6"/>
  <c r="AH33" i="6"/>
  <c r="AH31" i="6"/>
  <c r="AH29" i="6"/>
  <c r="AH27" i="6"/>
  <c r="AH25" i="6"/>
  <c r="AH23" i="6"/>
  <c r="AH21" i="6"/>
  <c r="AH19" i="6"/>
  <c r="AH17" i="6"/>
  <c r="AH15" i="6"/>
  <c r="AH9" i="6"/>
  <c r="AH101" i="6"/>
  <c r="AH107" i="6"/>
  <c r="AH99" i="6"/>
  <c r="AH103" i="6"/>
  <c r="AH93" i="6"/>
  <c r="AH105" i="6"/>
  <c r="AH95" i="6"/>
  <c r="AL18" i="6"/>
  <c r="AG15" i="6"/>
  <c r="AJ12" i="6"/>
  <c r="AG10" i="6"/>
  <c r="AG210" i="6"/>
  <c r="AG144" i="6"/>
  <c r="AG150" i="6"/>
  <c r="AG213" i="6"/>
  <c r="AG223" i="6"/>
  <c r="AG145" i="6"/>
  <c r="AG168" i="6"/>
  <c r="AG200" i="6"/>
  <c r="AG218" i="6"/>
  <c r="AG162" i="6"/>
  <c r="AG237" i="6"/>
  <c r="AG139" i="6"/>
  <c r="AG173" i="6"/>
  <c r="AG158" i="6"/>
  <c r="AG188" i="6"/>
  <c r="AG142" i="6"/>
  <c r="AG232" i="6"/>
  <c r="AG192" i="6"/>
  <c r="AG231" i="6"/>
  <c r="AG211" i="6"/>
  <c r="AG187" i="6"/>
  <c r="AG156" i="6"/>
  <c r="AG153" i="6"/>
  <c r="AG230" i="6"/>
  <c r="AG169" i="6"/>
  <c r="AG202" i="6"/>
  <c r="AG212" i="6"/>
  <c r="AG148" i="6"/>
  <c r="AG236" i="6"/>
  <c r="AG179" i="6"/>
  <c r="AG181" i="6"/>
  <c r="AG198" i="6"/>
  <c r="AG217" i="6"/>
  <c r="AG152" i="6"/>
  <c r="AG182" i="6"/>
  <c r="AG216" i="6"/>
  <c r="AG227" i="6"/>
  <c r="AG160" i="6"/>
  <c r="AG155" i="6"/>
  <c r="AG235" i="6"/>
  <c r="AG163" i="6"/>
  <c r="AG222" i="6"/>
  <c r="AG186" i="6"/>
  <c r="AG170" i="6"/>
  <c r="AG197" i="6"/>
  <c r="AG172" i="6"/>
  <c r="AG209" i="6"/>
  <c r="AG221" i="6"/>
  <c r="AG224" i="6"/>
  <c r="AG166" i="6"/>
  <c r="AG184" i="6"/>
  <c r="AG159" i="6"/>
  <c r="AG178" i="6"/>
  <c r="AG171" i="6"/>
  <c r="AG191" i="6"/>
  <c r="AG157" i="6"/>
  <c r="AG208" i="6"/>
  <c r="AG190" i="6"/>
  <c r="AG193" i="6"/>
  <c r="AG141" i="6"/>
  <c r="AG185" i="6"/>
  <c r="AG143" i="6"/>
  <c r="AG177" i="6"/>
  <c r="AG147" i="6"/>
  <c r="AG233" i="6"/>
  <c r="AG204" i="6"/>
  <c r="AG229" i="6"/>
  <c r="AG146" i="6"/>
  <c r="AG214" i="6"/>
  <c r="AG180" i="6"/>
  <c r="AG196" i="6"/>
  <c r="AG207" i="6"/>
  <c r="AG165" i="6"/>
  <c r="AG164" i="6"/>
  <c r="AG219" i="6"/>
  <c r="AG205" i="6"/>
  <c r="AG175" i="6"/>
  <c r="AG174" i="6"/>
  <c r="AG140" i="6"/>
  <c r="AG215" i="6"/>
  <c r="AG199" i="6"/>
  <c r="AG161" i="6"/>
  <c r="AG151" i="6"/>
  <c r="AG234" i="6"/>
  <c r="AG176" i="6"/>
  <c r="AG201" i="6"/>
  <c r="AG194" i="6"/>
  <c r="AG195" i="6"/>
  <c r="AG167" i="6"/>
  <c r="AG183" i="6"/>
  <c r="AG225" i="6"/>
  <c r="AG203" i="6"/>
  <c r="AG154" i="6"/>
  <c r="AG226" i="6"/>
  <c r="AG206" i="6"/>
  <c r="AG228" i="6"/>
  <c r="AG149" i="6"/>
  <c r="AG189" i="6"/>
  <c r="AG220" i="6"/>
  <c r="AL192" i="6"/>
  <c r="AL174" i="6"/>
  <c r="AL191" i="6"/>
  <c r="AL213" i="6"/>
  <c r="AL142" i="6"/>
  <c r="AL176" i="6"/>
  <c r="AL228" i="6"/>
  <c r="AL189" i="6"/>
  <c r="AL203" i="6"/>
  <c r="AL156" i="6"/>
  <c r="AL193" i="6"/>
  <c r="AL234" i="6"/>
  <c r="AL226" i="6"/>
  <c r="AL181" i="6"/>
  <c r="AL170" i="6"/>
  <c r="AL150" i="6"/>
  <c r="AL190" i="6"/>
  <c r="AL167" i="6"/>
  <c r="AL147" i="6"/>
  <c r="AL215" i="6"/>
  <c r="AL199" i="6"/>
  <c r="AL182" i="6"/>
  <c r="AL218" i="6"/>
  <c r="AL148" i="6"/>
  <c r="AL236" i="6"/>
  <c r="AL205" i="6"/>
  <c r="AL219" i="6"/>
  <c r="AL231" i="6"/>
  <c r="AL166" i="6"/>
  <c r="AL220" i="6"/>
  <c r="AL162" i="6"/>
  <c r="AL230" i="6"/>
  <c r="AL194" i="6"/>
  <c r="AL155" i="6"/>
  <c r="AL195" i="6"/>
  <c r="AL172" i="6"/>
  <c r="AL144" i="6"/>
  <c r="AL178" i="6"/>
  <c r="AL154" i="6"/>
  <c r="AL204" i="6"/>
  <c r="AL186" i="6"/>
  <c r="AL223" i="6"/>
  <c r="AL198" i="6"/>
  <c r="AL177" i="6"/>
  <c r="AL233" i="6"/>
  <c r="AL187" i="6"/>
  <c r="AL139" i="6"/>
  <c r="AL161" i="6"/>
  <c r="AL180" i="6"/>
  <c r="AL201" i="6"/>
  <c r="AL183" i="6"/>
  <c r="AL168" i="6"/>
  <c r="AL200" i="6"/>
  <c r="AL212" i="6"/>
  <c r="AL169" i="6"/>
  <c r="AL152" i="6"/>
  <c r="AL185" i="6"/>
  <c r="AL160" i="6"/>
  <c r="AL145" i="6"/>
  <c r="AL171" i="6"/>
  <c r="AL143" i="6"/>
  <c r="AL184" i="6"/>
  <c r="AL211" i="6"/>
  <c r="AL196" i="6"/>
  <c r="AL188" i="6"/>
  <c r="AL214" i="6"/>
  <c r="AL140" i="6"/>
  <c r="AL197" i="6"/>
  <c r="AL159" i="6"/>
  <c r="AL149" i="6"/>
  <c r="AL141" i="6"/>
  <c r="AL173" i="6"/>
  <c r="AL153" i="6"/>
  <c r="AL216" i="6"/>
  <c r="AL163" i="6"/>
  <c r="AL179" i="6"/>
  <c r="AL217" i="6"/>
  <c r="AL157" i="6"/>
  <c r="AL202" i="6"/>
  <c r="AL158" i="6"/>
  <c r="AL235" i="6"/>
  <c r="AL208" i="6"/>
  <c r="AL151" i="6"/>
  <c r="AL209" i="6"/>
  <c r="AL222" i="6"/>
  <c r="AL164" i="6"/>
  <c r="AL225" i="6"/>
  <c r="AL146" i="6"/>
  <c r="AL232" i="6"/>
  <c r="AL175" i="6"/>
  <c r="AL165" i="6"/>
  <c r="AL206" i="6"/>
  <c r="AL210" i="6"/>
  <c r="AL221" i="6"/>
  <c r="AL224" i="6"/>
  <c r="AL237" i="6"/>
  <c r="AL227" i="6"/>
  <c r="AL207" i="6"/>
  <c r="AL229" i="6"/>
  <c r="AK219" i="6"/>
  <c r="AK213" i="6"/>
  <c r="AK153" i="6"/>
  <c r="AK148" i="6"/>
  <c r="AK199" i="6"/>
  <c r="AK228" i="6"/>
  <c r="AK221" i="6"/>
  <c r="AK225" i="6"/>
  <c r="AK194" i="6"/>
  <c r="AK200" i="6"/>
  <c r="AK211" i="6"/>
  <c r="AK190" i="6"/>
  <c r="AK215" i="6"/>
  <c r="AK146" i="6"/>
  <c r="AK163" i="6"/>
  <c r="AK227" i="6"/>
  <c r="AK176" i="6"/>
  <c r="AK169" i="6"/>
  <c r="AK217" i="6"/>
  <c r="AK178" i="6"/>
  <c r="AK235" i="6"/>
  <c r="AK230" i="6"/>
  <c r="AK197" i="6"/>
  <c r="AK220" i="6"/>
  <c r="AK159" i="6"/>
  <c r="AK181" i="6"/>
  <c r="AK139" i="6"/>
  <c r="AK216" i="6"/>
  <c r="AK184" i="6"/>
  <c r="AK170" i="6"/>
  <c r="AK222" i="6"/>
  <c r="AK145" i="6"/>
  <c r="AK164" i="6"/>
  <c r="AK187" i="6"/>
  <c r="AK161" i="6"/>
  <c r="AK175" i="6"/>
  <c r="AK188" i="6"/>
  <c r="AK205" i="6"/>
  <c r="AK207" i="6"/>
  <c r="AK174" i="6"/>
  <c r="AK233" i="6"/>
  <c r="AK156" i="6"/>
  <c r="AK223" i="6"/>
  <c r="AK166" i="6"/>
  <c r="AK206" i="6"/>
  <c r="AK140" i="6"/>
  <c r="AK179" i="6"/>
  <c r="AK149" i="6"/>
  <c r="AK173" i="6"/>
  <c r="AK198" i="6"/>
  <c r="AK151" i="6"/>
  <c r="AK231" i="6"/>
  <c r="AK204" i="6"/>
  <c r="AK192" i="6"/>
  <c r="AK189" i="6"/>
  <c r="AK203" i="6"/>
  <c r="AK144" i="6"/>
  <c r="AK212" i="6"/>
  <c r="AK167" i="6"/>
  <c r="AK224" i="6"/>
  <c r="AK168" i="6"/>
  <c r="AK232" i="6"/>
  <c r="AK152" i="6"/>
  <c r="AK229" i="6"/>
  <c r="AK160" i="6"/>
  <c r="AK186" i="6"/>
  <c r="AK209" i="6"/>
  <c r="AK214" i="6"/>
  <c r="AK196" i="6"/>
  <c r="AK180" i="6"/>
  <c r="AK150" i="6"/>
  <c r="AK172" i="6"/>
  <c r="AK142" i="6"/>
  <c r="AK183" i="6"/>
  <c r="AK162" i="6"/>
  <c r="AK237" i="6"/>
  <c r="AK201" i="6"/>
  <c r="AK157" i="6"/>
  <c r="AK208" i="6"/>
  <c r="AK193" i="6"/>
  <c r="AK143" i="6"/>
  <c r="AK165" i="6"/>
  <c r="AK185" i="6"/>
  <c r="AK234" i="6"/>
  <c r="AK226" i="6"/>
  <c r="AK155" i="6"/>
  <c r="AK147" i="6"/>
  <c r="AK210" i="6"/>
  <c r="AK182" i="6"/>
  <c r="AK177" i="6"/>
  <c r="AK171" i="6"/>
  <c r="AK236" i="6"/>
  <c r="AK218" i="6"/>
  <c r="AK141" i="6"/>
  <c r="AK202" i="6"/>
  <c r="AK154" i="6"/>
  <c r="AK191" i="6"/>
  <c r="AK158" i="6"/>
  <c r="AK195" i="6"/>
  <c r="AJ180" i="6"/>
  <c r="AJ200" i="6"/>
  <c r="AJ222" i="6"/>
  <c r="AJ211" i="6"/>
  <c r="AJ192" i="6"/>
  <c r="AJ171" i="6"/>
  <c r="AJ177" i="6"/>
  <c r="AJ176" i="6"/>
  <c r="AJ167" i="6"/>
  <c r="AJ228" i="6"/>
  <c r="AJ209" i="6"/>
  <c r="AJ159" i="6"/>
  <c r="AJ230" i="6"/>
  <c r="AJ162" i="6"/>
  <c r="AJ178" i="6"/>
  <c r="AJ214" i="6"/>
  <c r="AJ142" i="6"/>
  <c r="AJ139" i="6"/>
  <c r="AJ140" i="6"/>
  <c r="AJ191" i="6"/>
  <c r="AJ216" i="6"/>
  <c r="AJ165" i="6"/>
  <c r="AJ145" i="6"/>
  <c r="AJ195" i="6"/>
  <c r="AJ236" i="6"/>
  <c r="AJ234" i="6"/>
  <c r="AJ166" i="6"/>
  <c r="AJ151" i="6"/>
  <c r="AJ197" i="6"/>
  <c r="AJ161" i="6"/>
  <c r="AJ158" i="6"/>
  <c r="AJ183" i="6"/>
  <c r="AJ229" i="6"/>
  <c r="AJ169" i="6"/>
  <c r="AJ224" i="6"/>
  <c r="AJ170" i="6"/>
  <c r="AJ193" i="6"/>
  <c r="AJ220" i="6"/>
  <c r="AJ175" i="6"/>
  <c r="AJ163" i="6"/>
  <c r="AJ147" i="6"/>
  <c r="AJ164" i="6"/>
  <c r="AJ196" i="6"/>
  <c r="AJ218" i="6"/>
  <c r="AJ227" i="6"/>
  <c r="AJ233" i="6"/>
  <c r="AJ157" i="6"/>
  <c r="AJ188" i="6"/>
  <c r="AJ235" i="6"/>
  <c r="AJ149" i="6"/>
  <c r="AJ189" i="6"/>
  <c r="AJ141" i="6"/>
  <c r="AJ225" i="6"/>
  <c r="AJ185" i="6"/>
  <c r="AJ194" i="6"/>
  <c r="AJ215" i="6"/>
  <c r="AJ154" i="6"/>
  <c r="AJ205" i="6"/>
  <c r="AJ207" i="6"/>
  <c r="AJ160" i="6"/>
  <c r="AJ187" i="6"/>
  <c r="AJ172" i="6"/>
  <c r="AJ217" i="6"/>
  <c r="AJ144" i="6"/>
  <c r="AJ226" i="6"/>
  <c r="AJ146" i="6"/>
  <c r="AJ173" i="6"/>
  <c r="AJ182" i="6"/>
  <c r="AJ155" i="6"/>
  <c r="AJ213" i="6"/>
  <c r="AJ198" i="6"/>
  <c r="AJ219" i="6"/>
  <c r="AJ190" i="6"/>
  <c r="AJ203" i="6"/>
  <c r="AJ232" i="6"/>
  <c r="AJ231" i="6"/>
  <c r="AJ206" i="6"/>
  <c r="AJ156" i="6"/>
  <c r="AJ179" i="6"/>
  <c r="AJ174" i="6"/>
  <c r="AJ199" i="6"/>
  <c r="AJ202" i="6"/>
  <c r="AJ223" i="6"/>
  <c r="AJ168" i="6"/>
  <c r="AJ201" i="6"/>
  <c r="AJ152" i="6"/>
  <c r="AJ204" i="6"/>
  <c r="AJ181" i="6"/>
  <c r="AJ150" i="6"/>
  <c r="AJ237" i="6"/>
  <c r="AJ210" i="6"/>
  <c r="AJ153" i="6"/>
  <c r="AJ148" i="6"/>
  <c r="AJ221" i="6"/>
  <c r="AJ212" i="6"/>
  <c r="AJ143" i="6"/>
  <c r="AJ184" i="6"/>
  <c r="AJ186" i="6"/>
  <c r="AJ208" i="6"/>
  <c r="AL16" i="6"/>
  <c r="AL14" i="6"/>
  <c r="AI204" i="6"/>
  <c r="AI160" i="6"/>
  <c r="AI170" i="6"/>
  <c r="AI141" i="6"/>
  <c r="AI142" i="6"/>
  <c r="AI185" i="6"/>
  <c r="AI152" i="6"/>
  <c r="AI151" i="6"/>
  <c r="AI165" i="6"/>
  <c r="AI140" i="6"/>
  <c r="AI228" i="6"/>
  <c r="AI153" i="6"/>
  <c r="AI231" i="6"/>
  <c r="AI223" i="6"/>
  <c r="AI234" i="6"/>
  <c r="AI148" i="6"/>
  <c r="AI179" i="6"/>
  <c r="AI196" i="6"/>
  <c r="AI215" i="6"/>
  <c r="AI195" i="6"/>
  <c r="AI147" i="6"/>
  <c r="AI164" i="6"/>
  <c r="AI180" i="6"/>
  <c r="AI200" i="6"/>
  <c r="AI158" i="6"/>
  <c r="AI172" i="6"/>
  <c r="AI217" i="6"/>
  <c r="AI173" i="6"/>
  <c r="AI218" i="6"/>
  <c r="AI233" i="6"/>
  <c r="AI161" i="6"/>
  <c r="AI237" i="6"/>
  <c r="AI220" i="6"/>
  <c r="AI167" i="6"/>
  <c r="AI197" i="6"/>
  <c r="AI201" i="6"/>
  <c r="AI150" i="6"/>
  <c r="AI183" i="6"/>
  <c r="AI207" i="6"/>
  <c r="AI226" i="6"/>
  <c r="AI210" i="6"/>
  <c r="AI235" i="6"/>
  <c r="AI199" i="6"/>
  <c r="AI189" i="6"/>
  <c r="AI146" i="6"/>
  <c r="AI163" i="6"/>
  <c r="AI177" i="6"/>
  <c r="AI155" i="6"/>
  <c r="AI225" i="6"/>
  <c r="AI209" i="6"/>
  <c r="AI190" i="6"/>
  <c r="AI175" i="6"/>
  <c r="AI182" i="6"/>
  <c r="AI224" i="6"/>
  <c r="AI203" i="6"/>
  <c r="AI168" i="6"/>
  <c r="AI202" i="6"/>
  <c r="AI227" i="6"/>
  <c r="AI214" i="6"/>
  <c r="AI176" i="6"/>
  <c r="AI154" i="6"/>
  <c r="AI194" i="6"/>
  <c r="AI191" i="6"/>
  <c r="AI171" i="6"/>
  <c r="AI232" i="6"/>
  <c r="AI208" i="6"/>
  <c r="AI206" i="6"/>
  <c r="AI169" i="6"/>
  <c r="AI156" i="6"/>
  <c r="AI145" i="6"/>
  <c r="AI221" i="6"/>
  <c r="AI222" i="6"/>
  <c r="AI174" i="6"/>
  <c r="AI230" i="6"/>
  <c r="AI184" i="6"/>
  <c r="AI188" i="6"/>
  <c r="AI211" i="6"/>
  <c r="AI216" i="6"/>
  <c r="AI198" i="6"/>
  <c r="AI149" i="6"/>
  <c r="AI144" i="6"/>
  <c r="AI192" i="6"/>
  <c r="AI178" i="6"/>
  <c r="AI205" i="6"/>
  <c r="AI143" i="6"/>
  <c r="AI229" i="6"/>
  <c r="AI193" i="6"/>
  <c r="AI213" i="6"/>
  <c r="AI181" i="6"/>
  <c r="AI219" i="6"/>
  <c r="AI159" i="6"/>
  <c r="AI187" i="6"/>
  <c r="AI236" i="6"/>
  <c r="AI157" i="6"/>
  <c r="AI139" i="6"/>
  <c r="AI166" i="6"/>
  <c r="AI212" i="6"/>
  <c r="AI162" i="6"/>
  <c r="AI186" i="6"/>
  <c r="AK14" i="6"/>
  <c r="AH201" i="6"/>
  <c r="AH160" i="6"/>
  <c r="AH143" i="6"/>
  <c r="AH153" i="6"/>
  <c r="AH159" i="6"/>
  <c r="AH194" i="6"/>
  <c r="AH223" i="6"/>
  <c r="AH213" i="6"/>
  <c r="AH178" i="6"/>
  <c r="AH215" i="6"/>
  <c r="AH162" i="6"/>
  <c r="AH217" i="6"/>
  <c r="AH199" i="6"/>
  <c r="AH161" i="6"/>
  <c r="AH202" i="6"/>
  <c r="AH144" i="6"/>
  <c r="AH219" i="6"/>
  <c r="AH141" i="6"/>
  <c r="AH139" i="6"/>
  <c r="AH209" i="6"/>
  <c r="AH172" i="6"/>
  <c r="AH230" i="6"/>
  <c r="AH185" i="6"/>
  <c r="AH145" i="6"/>
  <c r="AH188" i="6"/>
  <c r="AH174" i="6"/>
  <c r="AH149" i="6"/>
  <c r="AH151" i="6"/>
  <c r="AH163" i="6"/>
  <c r="AH220" i="6"/>
  <c r="AH195" i="6"/>
  <c r="AH146" i="6"/>
  <c r="AH147" i="6"/>
  <c r="AH233" i="6"/>
  <c r="AH228" i="6"/>
  <c r="AH232" i="6"/>
  <c r="AH236" i="6"/>
  <c r="AH193" i="6"/>
  <c r="AH222" i="6"/>
  <c r="AH177" i="6"/>
  <c r="AH191" i="6"/>
  <c r="AH152" i="6"/>
  <c r="AH157" i="6"/>
  <c r="AH166" i="6"/>
  <c r="AH212" i="6"/>
  <c r="AH234" i="6"/>
  <c r="AH198" i="6"/>
  <c r="AH190" i="6"/>
  <c r="AH207" i="6"/>
  <c r="AH235" i="6"/>
  <c r="AH158" i="6"/>
  <c r="AH181" i="6"/>
  <c r="AH165" i="6"/>
  <c r="AH225" i="6"/>
  <c r="AH179" i="6"/>
  <c r="AH168" i="6"/>
  <c r="AH227" i="6"/>
  <c r="AH142" i="6"/>
  <c r="AH169" i="6"/>
  <c r="AH164" i="6"/>
  <c r="AH206" i="6"/>
  <c r="AH237" i="6"/>
  <c r="AH221" i="6"/>
  <c r="AH175" i="6"/>
  <c r="AH229" i="6"/>
  <c r="AH140" i="6"/>
  <c r="AH204" i="6"/>
  <c r="AH214" i="6"/>
  <c r="AH210" i="6"/>
  <c r="AH187" i="6"/>
  <c r="AH171" i="6"/>
  <c r="AH196" i="6"/>
  <c r="AH211" i="6"/>
  <c r="AH226" i="6"/>
  <c r="AH208" i="6"/>
  <c r="AH156" i="6"/>
  <c r="AH170" i="6"/>
  <c r="AH176" i="6"/>
  <c r="AH154" i="6"/>
  <c r="AH189" i="6"/>
  <c r="AH231" i="6"/>
  <c r="AH200" i="6"/>
  <c r="AH205" i="6"/>
  <c r="AH150" i="6"/>
  <c r="AH182" i="6"/>
  <c r="AH218" i="6"/>
  <c r="AH186" i="6"/>
  <c r="AH167" i="6"/>
  <c r="AH203" i="6"/>
  <c r="AH192" i="6"/>
  <c r="AH224" i="6"/>
  <c r="AH216" i="6"/>
  <c r="AH180" i="6"/>
  <c r="AH197" i="6"/>
  <c r="AH183" i="6"/>
  <c r="AH184" i="6"/>
  <c r="AH148" i="6"/>
  <c r="AH155" i="6"/>
  <c r="AH173" i="6"/>
  <c r="AJ18" i="6"/>
  <c r="AJ16" i="6"/>
  <c r="AJ14" i="6"/>
  <c r="AL11" i="6"/>
  <c r="AH14" i="6"/>
  <c r="AG9" i="6"/>
  <c r="AO241" i="6" l="1"/>
  <c r="AX16" i="6"/>
  <c r="AX12" i="6"/>
  <c r="AO130" i="6"/>
  <c r="AO250" i="6"/>
  <c r="AO247" i="6"/>
  <c r="AO252" i="6"/>
  <c r="AO258" i="6"/>
  <c r="AO128" i="6"/>
  <c r="AO240" i="6"/>
  <c r="AO262" i="6"/>
  <c r="AO121" i="6"/>
  <c r="AO256" i="6"/>
  <c r="AO259" i="6"/>
  <c r="AO244" i="6"/>
  <c r="AO255" i="6"/>
  <c r="AO109" i="6"/>
  <c r="AO111" i="6"/>
  <c r="AO124" i="6"/>
  <c r="AO115" i="6"/>
  <c r="AO108" i="6"/>
  <c r="AO126" i="6"/>
  <c r="AO120" i="6"/>
  <c r="AO246" i="6"/>
  <c r="AS15" i="6"/>
  <c r="AO264" i="6"/>
  <c r="BA15" i="6" s="1"/>
  <c r="AO132" i="6"/>
  <c r="AO122" i="6"/>
  <c r="AO261" i="6"/>
  <c r="AO116" i="6"/>
  <c r="AO127" i="6"/>
  <c r="AO125" i="6"/>
  <c r="AO248" i="6"/>
  <c r="AS11" i="6"/>
  <c r="AO263" i="6"/>
  <c r="BA11" i="6" s="1"/>
  <c r="AO118" i="6"/>
  <c r="AO257" i="6"/>
  <c r="AO253" i="6"/>
  <c r="AO112" i="6"/>
  <c r="AO245" i="6"/>
  <c r="AO251" i="6"/>
  <c r="AO131" i="6"/>
  <c r="AO114" i="6"/>
  <c r="AO249" i="6"/>
  <c r="AO243" i="6"/>
  <c r="AS14" i="6"/>
  <c r="AS16" i="6" s="1"/>
  <c r="AO134" i="6"/>
  <c r="BA14" i="6" s="1"/>
  <c r="AO238" i="6"/>
  <c r="AO129" i="6"/>
  <c r="AO119" i="6"/>
  <c r="AO239" i="6"/>
  <c r="AO110" i="6"/>
  <c r="AO117" i="6"/>
  <c r="AO113" i="6"/>
  <c r="AO260" i="6"/>
  <c r="AO123" i="6"/>
  <c r="AS10" i="6"/>
  <c r="AS12" i="6" s="1"/>
  <c r="AO133" i="6"/>
  <c r="BA10" i="6" s="1"/>
  <c r="AO254" i="6"/>
  <c r="Y32" i="5"/>
  <c r="AB32" i="5"/>
  <c r="V32" i="5"/>
  <c r="V2" i="2"/>
  <c r="BA12" i="6" l="1"/>
  <c r="BA16" i="6"/>
  <c r="K11" i="8"/>
  <c r="C17" i="8"/>
  <c r="D17" i="8"/>
  <c r="E17" i="8"/>
  <c r="F17" i="8"/>
  <c r="G17" i="8"/>
  <c r="H17" i="8"/>
  <c r="I17" i="8"/>
  <c r="J17" i="8"/>
  <c r="C16" i="8"/>
  <c r="D16" i="8"/>
  <c r="E16" i="8"/>
  <c r="F16" i="8"/>
  <c r="G16" i="8"/>
  <c r="H16" i="8"/>
  <c r="I16" i="8"/>
  <c r="J16" i="8"/>
  <c r="C13" i="8"/>
  <c r="D13" i="8"/>
  <c r="E13" i="8"/>
  <c r="F13" i="8"/>
  <c r="G13" i="8"/>
  <c r="H13" i="8"/>
  <c r="I13" i="8"/>
  <c r="J13" i="8"/>
  <c r="C14" i="8"/>
  <c r="D14" i="8"/>
  <c r="E14" i="8"/>
  <c r="F14" i="8"/>
  <c r="G14" i="8"/>
  <c r="H14" i="8"/>
  <c r="I14" i="8"/>
  <c r="J14" i="8"/>
  <c r="C15" i="8"/>
  <c r="D15" i="8"/>
  <c r="E15" i="8"/>
  <c r="K15" i="8" s="1"/>
  <c r="F15" i="8"/>
  <c r="G15" i="8"/>
  <c r="H15" i="8"/>
  <c r="I15" i="8"/>
  <c r="J15" i="8"/>
  <c r="D12" i="8"/>
  <c r="E12" i="8"/>
  <c r="F12" i="8"/>
  <c r="G12" i="8"/>
  <c r="H12" i="8"/>
  <c r="I12" i="8"/>
  <c r="J12" i="8"/>
  <c r="C12" i="8"/>
  <c r="K13" i="8" l="1"/>
  <c r="K16" i="8"/>
  <c r="K14" i="8"/>
  <c r="K12" i="8"/>
  <c r="K17" i="8"/>
  <c r="K7" i="6"/>
  <c r="K143" i="6" l="1"/>
  <c r="K151" i="6"/>
  <c r="K159" i="6"/>
  <c r="K167" i="6"/>
  <c r="K175" i="6"/>
  <c r="K183" i="6"/>
  <c r="K191" i="6"/>
  <c r="K199" i="6"/>
  <c r="K207" i="6"/>
  <c r="K215" i="6"/>
  <c r="K223" i="6"/>
  <c r="K231" i="6"/>
  <c r="K139" i="6"/>
  <c r="K23" i="6"/>
  <c r="K31" i="6"/>
  <c r="K39" i="6"/>
  <c r="K47" i="6"/>
  <c r="K55" i="6"/>
  <c r="K63" i="6"/>
  <c r="K71" i="6"/>
  <c r="K79" i="6"/>
  <c r="K87" i="6"/>
  <c r="K95" i="6"/>
  <c r="K103" i="6"/>
  <c r="K13" i="6"/>
  <c r="K96" i="6"/>
  <c r="K104" i="6"/>
  <c r="K14" i="6"/>
  <c r="K146" i="6"/>
  <c r="K162" i="6"/>
  <c r="K186" i="6"/>
  <c r="K202" i="6"/>
  <c r="K218" i="6"/>
  <c r="K18" i="6"/>
  <c r="K42" i="6"/>
  <c r="K66" i="6"/>
  <c r="K98" i="6"/>
  <c r="K46" i="6"/>
  <c r="K94" i="6"/>
  <c r="K144" i="6"/>
  <c r="K152" i="6"/>
  <c r="K160" i="6"/>
  <c r="K168" i="6"/>
  <c r="K176" i="6"/>
  <c r="K184" i="6"/>
  <c r="K192" i="6"/>
  <c r="K200" i="6"/>
  <c r="K208" i="6"/>
  <c r="K216" i="6"/>
  <c r="K224" i="6"/>
  <c r="K232" i="6"/>
  <c r="K16" i="6"/>
  <c r="K24" i="6"/>
  <c r="K32" i="6"/>
  <c r="K40" i="6"/>
  <c r="K48" i="6"/>
  <c r="K56" i="6"/>
  <c r="K64" i="6"/>
  <c r="K72" i="6"/>
  <c r="K80" i="6"/>
  <c r="K88" i="6"/>
  <c r="K170" i="6"/>
  <c r="K226" i="6"/>
  <c r="K26" i="6"/>
  <c r="K50" i="6"/>
  <c r="K74" i="6"/>
  <c r="K90" i="6"/>
  <c r="K9" i="6"/>
  <c r="K78" i="6"/>
  <c r="K145" i="6"/>
  <c r="K153" i="6"/>
  <c r="K161" i="6"/>
  <c r="K169" i="6"/>
  <c r="K177" i="6"/>
  <c r="K185" i="6"/>
  <c r="K193" i="6"/>
  <c r="K201" i="6"/>
  <c r="K209" i="6"/>
  <c r="K217" i="6"/>
  <c r="K225" i="6"/>
  <c r="K233" i="6"/>
  <c r="K17" i="6"/>
  <c r="K25" i="6"/>
  <c r="K33" i="6"/>
  <c r="K41" i="6"/>
  <c r="K49" i="6"/>
  <c r="K57" i="6"/>
  <c r="K65" i="6"/>
  <c r="K73" i="6"/>
  <c r="K81" i="6"/>
  <c r="K89" i="6"/>
  <c r="K97" i="6"/>
  <c r="K105" i="6"/>
  <c r="K15" i="6"/>
  <c r="K154" i="6"/>
  <c r="K178" i="6"/>
  <c r="K194" i="6"/>
  <c r="K210" i="6"/>
  <c r="K234" i="6"/>
  <c r="K34" i="6"/>
  <c r="K58" i="6"/>
  <c r="K82" i="6"/>
  <c r="K106" i="6"/>
  <c r="K62" i="6"/>
  <c r="K12" i="6"/>
  <c r="K147" i="6"/>
  <c r="K155" i="6"/>
  <c r="K163" i="6"/>
  <c r="K171" i="6"/>
  <c r="K179" i="6"/>
  <c r="K187" i="6"/>
  <c r="K195" i="6"/>
  <c r="K203" i="6"/>
  <c r="K211" i="6"/>
  <c r="K219" i="6"/>
  <c r="K227" i="6"/>
  <c r="K235" i="6"/>
  <c r="K19" i="6"/>
  <c r="K27" i="6"/>
  <c r="K35" i="6"/>
  <c r="K43" i="6"/>
  <c r="K51" i="6"/>
  <c r="K59" i="6"/>
  <c r="K67" i="6"/>
  <c r="K75" i="6"/>
  <c r="K83" i="6"/>
  <c r="K91" i="6"/>
  <c r="K99" i="6"/>
  <c r="K107" i="6"/>
  <c r="K141" i="6"/>
  <c r="K157" i="6"/>
  <c r="K165" i="6"/>
  <c r="K181" i="6"/>
  <c r="K197" i="6"/>
  <c r="K221" i="6"/>
  <c r="K237" i="6"/>
  <c r="K29" i="6"/>
  <c r="K45" i="6"/>
  <c r="K53" i="6"/>
  <c r="K69" i="6"/>
  <c r="K85" i="6"/>
  <c r="K101" i="6"/>
  <c r="K150" i="6"/>
  <c r="K166" i="6"/>
  <c r="K182" i="6"/>
  <c r="K198" i="6"/>
  <c r="K214" i="6"/>
  <c r="K230" i="6"/>
  <c r="K22" i="6"/>
  <c r="K30" i="6"/>
  <c r="K54" i="6"/>
  <c r="K86" i="6"/>
  <c r="K140" i="6"/>
  <c r="K148" i="6"/>
  <c r="K156" i="6"/>
  <c r="K164" i="6"/>
  <c r="K172" i="6"/>
  <c r="K180" i="6"/>
  <c r="K188" i="6"/>
  <c r="K196" i="6"/>
  <c r="K204" i="6"/>
  <c r="K212" i="6"/>
  <c r="K220" i="6"/>
  <c r="K228" i="6"/>
  <c r="K236" i="6"/>
  <c r="K20" i="6"/>
  <c r="K28" i="6"/>
  <c r="K36" i="6"/>
  <c r="K44" i="6"/>
  <c r="K52" i="6"/>
  <c r="K60" i="6"/>
  <c r="K68" i="6"/>
  <c r="K76" i="6"/>
  <c r="K84" i="6"/>
  <c r="K92" i="6"/>
  <c r="K100" i="6"/>
  <c r="K10" i="6"/>
  <c r="K149" i="6"/>
  <c r="K173" i="6"/>
  <c r="K189" i="6"/>
  <c r="K205" i="6"/>
  <c r="K213" i="6"/>
  <c r="K229" i="6"/>
  <c r="K21" i="6"/>
  <c r="K37" i="6"/>
  <c r="K61" i="6"/>
  <c r="K77" i="6"/>
  <c r="K93" i="6"/>
  <c r="K11" i="6"/>
  <c r="K142" i="6"/>
  <c r="K158" i="6"/>
  <c r="K174" i="6"/>
  <c r="K190" i="6"/>
  <c r="K206" i="6"/>
  <c r="K222" i="6"/>
  <c r="K38" i="6"/>
  <c r="K70" i="6"/>
  <c r="K102" i="6"/>
  <c r="K109" i="6"/>
  <c r="K108" i="6"/>
  <c r="K238" i="6"/>
  <c r="AO193" i="6"/>
  <c r="AO157" i="6"/>
  <c r="AO163" i="6"/>
  <c r="AO147" i="6"/>
  <c r="AO154" i="6"/>
  <c r="AO187" i="6"/>
  <c r="AO156" i="6"/>
  <c r="AO160" i="6"/>
  <c r="AO149" i="6"/>
  <c r="AO182" i="6"/>
  <c r="AO166" i="6"/>
  <c r="AO141" i="6"/>
  <c r="AO215" i="6"/>
  <c r="AO146" i="6"/>
  <c r="AO142" i="6"/>
  <c r="AO173" i="6"/>
  <c r="AO225" i="6"/>
  <c r="AO144" i="6"/>
  <c r="AO226" i="6"/>
  <c r="AO228" i="6"/>
  <c r="AO159" i="6"/>
  <c r="AO158" i="6"/>
  <c r="AO212" i="6"/>
  <c r="AO234" i="6"/>
  <c r="AO139" i="6"/>
  <c r="AO194" i="6"/>
  <c r="AO191" i="6"/>
  <c r="AO181" i="6"/>
  <c r="AO167" i="6"/>
  <c r="AO190" i="6"/>
  <c r="AO205" i="6"/>
  <c r="AO209" i="6"/>
  <c r="AO197" i="6"/>
  <c r="AO150" i="6"/>
  <c r="AO211" i="6"/>
  <c r="AO203" i="6"/>
  <c r="AO233" i="6"/>
  <c r="AO148" i="6"/>
  <c r="AO177" i="6"/>
  <c r="AO180" i="6"/>
  <c r="AO176" i="6"/>
  <c r="AO214" i="6"/>
  <c r="AO198" i="6"/>
  <c r="AO207" i="6"/>
  <c r="AO217" i="6"/>
  <c r="AO155" i="6"/>
  <c r="AO196" i="6"/>
  <c r="AO229" i="6"/>
  <c r="AO151" i="6"/>
  <c r="AO199" i="6"/>
  <c r="AO172" i="6"/>
  <c r="AO145" i="6"/>
  <c r="AO223" i="6"/>
  <c r="AO189" i="6"/>
  <c r="AO168" i="6"/>
  <c r="AO221" i="6"/>
  <c r="AO164" i="6"/>
  <c r="AO179" i="6"/>
  <c r="AO185" i="6"/>
  <c r="AO178" i="6"/>
  <c r="AO184" i="6"/>
  <c r="AO175" i="6"/>
  <c r="AO231" i="6"/>
  <c r="AO195" i="6"/>
  <c r="AO153" i="6"/>
  <c r="AO171" i="6"/>
  <c r="AO201" i="6"/>
  <c r="AO162" i="6"/>
  <c r="AO202" i="6"/>
  <c r="AO165" i="6"/>
  <c r="AO235" i="6"/>
  <c r="AO216" i="6"/>
  <c r="AO210" i="6"/>
  <c r="AO213" i="6"/>
  <c r="AO220" i="6"/>
  <c r="AO183" i="6"/>
  <c r="AO218" i="6"/>
  <c r="AO143" i="6"/>
  <c r="AO170" i="6"/>
  <c r="AO206" i="6"/>
  <c r="AO208" i="6"/>
  <c r="AO140" i="6"/>
  <c r="AO200" i="6"/>
  <c r="AO204" i="6"/>
  <c r="AO222" i="6"/>
  <c r="AO237" i="6"/>
  <c r="AO236" i="6"/>
  <c r="AO188" i="6"/>
  <c r="AO224" i="6"/>
  <c r="AO192" i="6"/>
  <c r="AO186" i="6"/>
  <c r="AO152" i="6"/>
  <c r="AO232" i="6"/>
  <c r="AO227" i="6"/>
  <c r="AO161" i="6"/>
  <c r="AO169" i="6"/>
  <c r="AO219" i="6"/>
  <c r="AO174" i="6"/>
  <c r="AO230" i="6"/>
  <c r="AO87" i="6"/>
  <c r="AO9" i="6"/>
  <c r="AO96" i="6"/>
  <c r="AO85" i="6"/>
  <c r="AO100" i="6"/>
  <c r="AO10" i="6"/>
  <c r="AO47" i="6"/>
  <c r="AO36" i="6"/>
  <c r="AO97" i="6"/>
  <c r="AO16" i="6"/>
  <c r="AO55" i="6"/>
  <c r="AO95" i="6"/>
  <c r="AO82" i="6"/>
  <c r="AO71" i="6"/>
  <c r="AO103" i="6"/>
  <c r="AO58" i="6"/>
  <c r="AO20" i="6"/>
  <c r="AO43" i="6"/>
  <c r="AO98" i="6"/>
  <c r="AO48" i="6"/>
  <c r="AO54" i="6"/>
  <c r="AO63" i="6"/>
  <c r="AO93" i="6"/>
  <c r="AO15" i="6"/>
  <c r="AO69" i="6"/>
  <c r="AO29" i="6"/>
  <c r="AO72" i="6"/>
  <c r="AO17" i="6"/>
  <c r="AO25" i="6"/>
  <c r="AO53" i="6"/>
  <c r="AO24" i="6"/>
  <c r="AO38" i="6"/>
  <c r="AO86" i="6"/>
  <c r="AO77" i="6"/>
  <c r="AO27" i="6"/>
  <c r="AO101" i="6"/>
  <c r="AO107" i="6"/>
  <c r="AO41" i="6"/>
  <c r="AO65" i="6"/>
  <c r="AO33" i="6"/>
  <c r="AO62" i="6"/>
  <c r="AO90" i="6"/>
  <c r="AO30" i="6"/>
  <c r="AO61" i="6"/>
  <c r="AO64" i="6"/>
  <c r="AO21" i="6"/>
  <c r="AO52" i="6"/>
  <c r="AO73" i="6"/>
  <c r="AO75" i="6"/>
  <c r="AO44" i="6"/>
  <c r="AO31" i="6"/>
  <c r="AO39" i="6"/>
  <c r="AO104" i="6"/>
  <c r="AO68" i="6"/>
  <c r="AO102" i="6"/>
  <c r="AO45" i="6"/>
  <c r="AO34" i="6"/>
  <c r="AO49" i="6"/>
  <c r="AO26" i="6"/>
  <c r="AO35" i="6"/>
  <c r="AO70" i="6"/>
  <c r="AO74" i="6"/>
  <c r="AO40" i="6"/>
  <c r="AO94" i="6"/>
  <c r="AO22" i="6"/>
  <c r="AO51" i="6"/>
  <c r="AO42" i="6"/>
  <c r="AO19" i="6"/>
  <c r="AO12" i="6"/>
  <c r="AO50" i="6"/>
  <c r="AO105" i="6"/>
  <c r="AO88" i="6"/>
  <c r="AO59" i="6"/>
  <c r="AO81" i="6"/>
  <c r="AO28" i="6"/>
  <c r="AO91" i="6"/>
  <c r="AO92" i="6"/>
  <c r="AO84" i="6"/>
  <c r="AO23" i="6"/>
  <c r="AO14" i="6"/>
  <c r="AO11" i="6"/>
  <c r="AO89" i="6"/>
  <c r="AO79" i="6"/>
  <c r="AO99" i="6"/>
  <c r="AO32" i="6"/>
  <c r="AO57" i="6"/>
  <c r="AO56" i="6"/>
  <c r="AO66" i="6"/>
  <c r="AO80" i="6"/>
  <c r="AO13" i="6"/>
  <c r="AO78" i="6"/>
  <c r="AO18" i="6"/>
  <c r="AO83" i="6"/>
  <c r="AO76" i="6"/>
  <c r="AO67" i="6"/>
  <c r="AO60" i="6"/>
  <c r="AO37" i="6"/>
  <c r="AO106" i="6"/>
  <c r="AO46" i="6"/>
  <c r="AP132" i="6" l="1"/>
  <c r="AP173" i="6"/>
  <c r="AP262" i="6"/>
  <c r="AP43" i="6"/>
  <c r="L43" i="6"/>
  <c r="L173" i="6"/>
  <c r="AC9" i="5"/>
  <c r="AB9" i="5"/>
  <c r="Z9" i="5"/>
  <c r="Y9" i="5"/>
  <c r="W9" i="5"/>
  <c r="V9" i="5"/>
  <c r="T9" i="5"/>
  <c r="S9" i="5"/>
  <c r="AC8" i="5"/>
  <c r="AB8" i="5"/>
  <c r="Z8" i="5"/>
  <c r="Y8" i="5"/>
  <c r="W8" i="5"/>
  <c r="V8" i="5"/>
  <c r="T8" i="5"/>
  <c r="S8" i="5"/>
  <c r="AC7" i="5"/>
  <c r="AB7" i="5"/>
  <c r="Z7" i="5"/>
  <c r="Y7" i="5"/>
  <c r="W7" i="5"/>
  <c r="V7" i="5"/>
  <c r="T7" i="5"/>
  <c r="S7" i="5"/>
  <c r="K239" i="6" l="1"/>
  <c r="S33" i="5" l="1"/>
  <c r="V33" i="5" l="1"/>
  <c r="S34" i="5"/>
  <c r="AB33" i="5"/>
  <c r="Y33" i="5"/>
  <c r="V34" i="5" l="1"/>
  <c r="Y34" i="5"/>
  <c r="S35" i="5"/>
  <c r="AB34" i="5"/>
  <c r="AB35" i="5" l="1"/>
  <c r="Y35" i="5"/>
  <c r="V35" i="5"/>
  <c r="S36" i="5"/>
  <c r="AB36" i="5" l="1"/>
  <c r="Y36" i="5"/>
  <c r="S37" i="5"/>
  <c r="V36" i="5"/>
  <c r="AB37" i="5" l="1"/>
  <c r="Y37" i="5"/>
  <c r="V37" i="5"/>
  <c r="S38" i="5"/>
  <c r="AB38" i="5" l="1"/>
  <c r="Y38" i="5"/>
  <c r="S39" i="5"/>
  <c r="V38" i="5"/>
  <c r="AB39" i="5" l="1"/>
  <c r="Y39" i="5"/>
  <c r="V39" i="5"/>
  <c r="S40" i="5"/>
  <c r="AB40" i="5" l="1"/>
  <c r="Y40" i="5"/>
  <c r="S41" i="5"/>
  <c r="V40" i="5"/>
  <c r="AB41" i="5" l="1"/>
  <c r="Y41" i="5"/>
  <c r="V41" i="5"/>
  <c r="S42" i="5"/>
  <c r="AB42" i="5" l="1"/>
  <c r="Y42" i="5"/>
  <c r="S43" i="5"/>
  <c r="V42" i="5"/>
  <c r="AB43" i="5" l="1"/>
  <c r="Y43" i="5"/>
  <c r="V43" i="5"/>
  <c r="S44" i="5"/>
  <c r="AB44" i="5" l="1"/>
  <c r="Y44" i="5"/>
  <c r="S45" i="5"/>
  <c r="V44" i="5"/>
  <c r="AB45" i="5" l="1"/>
  <c r="Y45" i="5"/>
  <c r="V45" i="5"/>
  <c r="S46" i="5"/>
  <c r="AB46" i="5" l="1"/>
  <c r="Y46" i="5"/>
  <c r="S47" i="5"/>
  <c r="V46" i="5"/>
  <c r="AB47" i="5" l="1"/>
  <c r="Y47" i="5"/>
  <c r="V47" i="5"/>
  <c r="S48" i="5"/>
  <c r="AB48" i="5" l="1"/>
  <c r="Y48" i="5"/>
  <c r="S49" i="5"/>
  <c r="V48" i="5"/>
  <c r="AB49" i="5" l="1"/>
  <c r="Y49" i="5"/>
  <c r="V49" i="5"/>
  <c r="S50" i="5"/>
  <c r="AB50" i="5" l="1"/>
  <c r="Y50" i="5"/>
  <c r="S51" i="5"/>
  <c r="V50" i="5"/>
  <c r="AB51" i="5" l="1"/>
  <c r="Y51" i="5"/>
  <c r="V51" i="5"/>
  <c r="S52" i="5"/>
  <c r="AB52" i="5" l="1"/>
  <c r="Y52" i="5"/>
  <c r="S53" i="5"/>
  <c r="V52" i="5"/>
  <c r="AB53" i="5" l="1"/>
  <c r="Y53" i="5"/>
  <c r="V53" i="5"/>
  <c r="S54" i="5"/>
  <c r="AB54" i="5" l="1"/>
  <c r="Y54" i="5"/>
  <c r="S55" i="5"/>
  <c r="V54" i="5"/>
  <c r="AB55" i="5" l="1"/>
  <c r="Y55" i="5"/>
  <c r="V55" i="5"/>
  <c r="S56" i="5"/>
  <c r="AB56" i="5" l="1"/>
  <c r="Y56" i="5"/>
  <c r="S57" i="5"/>
  <c r="V56" i="5"/>
  <c r="AB57" i="5" l="1"/>
  <c r="Y57" i="5"/>
  <c r="V57" i="5"/>
  <c r="S58" i="5"/>
  <c r="AB58" i="5" l="1"/>
  <c r="Y58" i="5"/>
  <c r="S59" i="5"/>
  <c r="V58" i="5"/>
  <c r="AB59" i="5" l="1"/>
  <c r="Y59" i="5"/>
  <c r="V59" i="5"/>
  <c r="S60" i="5"/>
  <c r="AB60" i="5" l="1"/>
  <c r="Y60" i="5"/>
  <c r="S61" i="5"/>
  <c r="V60" i="5"/>
  <c r="AB61" i="5" l="1"/>
  <c r="Y61" i="5"/>
  <c r="V61" i="5"/>
  <c r="S62" i="5"/>
  <c r="AB62" i="5" l="1"/>
  <c r="Y62" i="5"/>
  <c r="S63" i="5"/>
  <c r="V62" i="5"/>
  <c r="AB63" i="5" l="1"/>
  <c r="Y63" i="5"/>
  <c r="V63" i="5"/>
  <c r="S64" i="5"/>
  <c r="AB64" i="5" l="1"/>
  <c r="Y64" i="5"/>
  <c r="S65" i="5"/>
  <c r="V64" i="5"/>
  <c r="AB65" i="5" l="1"/>
  <c r="Y65" i="5"/>
  <c r="V65" i="5"/>
  <c r="S66" i="5"/>
  <c r="AB66" i="5" l="1"/>
  <c r="Y66" i="5"/>
  <c r="S67" i="5"/>
  <c r="V66" i="5"/>
  <c r="AB67" i="5" l="1"/>
  <c r="Y67" i="5"/>
  <c r="V67" i="5"/>
  <c r="S68" i="5"/>
  <c r="AB68" i="5" l="1"/>
  <c r="Y68" i="5"/>
  <c r="S69" i="5"/>
  <c r="V68" i="5"/>
  <c r="AB69" i="5" l="1"/>
  <c r="Y69" i="5"/>
  <c r="V69" i="5"/>
  <c r="S70" i="5"/>
  <c r="AB70" i="5" l="1"/>
  <c r="Y70" i="5"/>
  <c r="S71" i="5"/>
  <c r="V70" i="5"/>
  <c r="AB71" i="5" l="1"/>
  <c r="Y71" i="5"/>
  <c r="V71" i="5"/>
  <c r="S72" i="5"/>
  <c r="AB72" i="5" l="1"/>
  <c r="Y72" i="5"/>
  <c r="S73" i="5"/>
  <c r="V72" i="5"/>
  <c r="AB73" i="5" l="1"/>
  <c r="Y73" i="5"/>
  <c r="V73" i="5"/>
  <c r="S74" i="5"/>
  <c r="AB74" i="5" l="1"/>
  <c r="Y74" i="5"/>
  <c r="S75" i="5"/>
  <c r="V74" i="5"/>
  <c r="AB75" i="5" l="1"/>
  <c r="Y75" i="5"/>
  <c r="V75" i="5"/>
  <c r="S76" i="5"/>
  <c r="AB76" i="5" l="1"/>
  <c r="Y76" i="5"/>
  <c r="S77" i="5"/>
  <c r="V76" i="5"/>
  <c r="AB77" i="5" l="1"/>
  <c r="Y77" i="5"/>
  <c r="V77" i="5"/>
  <c r="S78" i="5"/>
  <c r="AB78" i="5" l="1"/>
  <c r="Y78" i="5"/>
  <c r="S79" i="5"/>
  <c r="V78" i="5"/>
  <c r="AB79" i="5" l="1"/>
  <c r="Y79" i="5"/>
  <c r="V79" i="5"/>
  <c r="S80" i="5"/>
  <c r="AB80" i="5" l="1"/>
  <c r="Y80" i="5"/>
  <c r="S81" i="5"/>
  <c r="V80" i="5"/>
  <c r="AB81" i="5" l="1"/>
  <c r="Y81" i="5"/>
  <c r="V81" i="5"/>
  <c r="S82" i="5"/>
  <c r="AB82" i="5" l="1"/>
  <c r="Y82" i="5"/>
  <c r="S83" i="5"/>
  <c r="V82" i="5"/>
  <c r="AB83" i="5" l="1"/>
  <c r="Y83" i="5"/>
  <c r="V83" i="5"/>
  <c r="S84" i="5"/>
  <c r="AB84" i="5" l="1"/>
  <c r="Y84" i="5"/>
  <c r="S85" i="5"/>
  <c r="V84" i="5"/>
  <c r="AB85" i="5" l="1"/>
  <c r="Y85" i="5"/>
  <c r="V85" i="5"/>
  <c r="S86" i="5"/>
  <c r="AB86" i="5" l="1"/>
  <c r="Y86" i="5"/>
  <c r="S87" i="5"/>
  <c r="V86" i="5"/>
  <c r="AB87" i="5" l="1"/>
  <c r="Y87" i="5"/>
  <c r="V87" i="5"/>
  <c r="S88" i="5"/>
  <c r="AB88" i="5" l="1"/>
  <c r="Y88" i="5"/>
  <c r="S89" i="5"/>
  <c r="V88" i="5"/>
  <c r="AB89" i="5" l="1"/>
  <c r="Y89" i="5"/>
  <c r="V89" i="5"/>
  <c r="S90" i="5"/>
  <c r="AB90" i="5" l="1"/>
  <c r="Y90" i="5"/>
  <c r="S91" i="5"/>
  <c r="V90" i="5"/>
  <c r="AB91" i="5" l="1"/>
  <c r="Y91" i="5"/>
  <c r="V91" i="5"/>
  <c r="S92" i="5"/>
  <c r="AB92" i="5" l="1"/>
  <c r="Y92" i="5"/>
  <c r="S93" i="5"/>
  <c r="V92" i="5"/>
  <c r="AB93" i="5" l="1"/>
  <c r="Y93" i="5"/>
  <c r="V93" i="5"/>
  <c r="S94" i="5"/>
  <c r="AB94" i="5" l="1"/>
  <c r="Y94" i="5"/>
  <c r="S95" i="5"/>
  <c r="V94" i="5"/>
  <c r="AB95" i="5" l="1"/>
  <c r="Y95" i="5"/>
  <c r="V95" i="5"/>
  <c r="S96" i="5"/>
  <c r="AB96" i="5" l="1"/>
  <c r="Y96" i="5"/>
  <c r="S97" i="5"/>
  <c r="V96" i="5"/>
  <c r="AB97" i="5" l="1"/>
  <c r="Y97" i="5"/>
  <c r="V97" i="5"/>
  <c r="S98" i="5"/>
  <c r="AB98" i="5" l="1"/>
  <c r="Y98" i="5"/>
  <c r="S99" i="5"/>
  <c r="V98" i="5"/>
  <c r="AB99" i="5" l="1"/>
  <c r="Y99" i="5"/>
  <c r="V99" i="5"/>
  <c r="S100" i="5"/>
  <c r="AB100" i="5" l="1"/>
  <c r="Y100" i="5"/>
  <c r="S101" i="5"/>
  <c r="V100" i="5"/>
  <c r="AB101" i="5" l="1"/>
  <c r="Y101" i="5"/>
  <c r="V101" i="5"/>
  <c r="S102" i="5"/>
  <c r="AB102" i="5" l="1"/>
  <c r="Y102" i="5"/>
  <c r="S103" i="5"/>
  <c r="V102" i="5"/>
  <c r="AB103" i="5" l="1"/>
  <c r="Y103" i="5"/>
  <c r="V103" i="5"/>
  <c r="S104" i="5"/>
  <c r="AB104" i="5" l="1"/>
  <c r="Y104" i="5"/>
  <c r="S105" i="5"/>
  <c r="V104" i="5"/>
  <c r="AB105" i="5" l="1"/>
  <c r="Y105" i="5"/>
  <c r="V105" i="5"/>
  <c r="S106" i="5"/>
  <c r="AB106" i="5" l="1"/>
  <c r="Y106" i="5"/>
  <c r="S107" i="5"/>
  <c r="V106" i="5"/>
  <c r="AB107" i="5" l="1"/>
  <c r="Y107" i="5"/>
  <c r="V107" i="5"/>
  <c r="S108" i="5"/>
  <c r="AB108" i="5" l="1"/>
  <c r="Y108" i="5"/>
  <c r="S109" i="5"/>
  <c r="V108" i="5"/>
  <c r="AB109" i="5" l="1"/>
  <c r="Y109" i="5"/>
  <c r="V109" i="5"/>
  <c r="S110" i="5"/>
  <c r="AB110" i="5" l="1"/>
  <c r="Y110" i="5"/>
  <c r="S111" i="5"/>
  <c r="V110" i="5"/>
  <c r="AB111" i="5" l="1"/>
  <c r="Y111" i="5"/>
  <c r="V111" i="5"/>
  <c r="S112" i="5"/>
  <c r="AB112" i="5" l="1"/>
  <c r="Y112" i="5"/>
  <c r="S113" i="5"/>
  <c r="V112" i="5"/>
  <c r="AB113" i="5" l="1"/>
  <c r="Y113" i="5"/>
  <c r="V113" i="5"/>
  <c r="S114" i="5"/>
  <c r="AB114" i="5" l="1"/>
  <c r="Y114" i="5"/>
  <c r="S115" i="5"/>
  <c r="V114" i="5"/>
  <c r="AB115" i="5" l="1"/>
  <c r="Y115" i="5"/>
  <c r="V115" i="5"/>
  <c r="S116" i="5"/>
  <c r="AB116" i="5" l="1"/>
  <c r="Y116" i="5"/>
  <c r="S117" i="5"/>
  <c r="V116" i="5"/>
  <c r="AB117" i="5" l="1"/>
  <c r="Y117" i="5"/>
  <c r="V117" i="5"/>
  <c r="S118" i="5"/>
  <c r="AB118" i="5" l="1"/>
  <c r="Y118" i="5"/>
  <c r="S119" i="5"/>
  <c r="V118" i="5"/>
  <c r="AB119" i="5" l="1"/>
  <c r="Y119" i="5"/>
  <c r="V119" i="5"/>
  <c r="A36" i="2" l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D64" i="2"/>
  <c r="D63" i="2"/>
  <c r="E62" i="2"/>
  <c r="E64" i="2" s="1"/>
  <c r="A6" i="2"/>
  <c r="A7" i="2" l="1"/>
  <c r="E63" i="2"/>
  <c r="F62" i="2"/>
  <c r="A8" i="2"/>
  <c r="A9" i="2" l="1"/>
  <c r="G62" i="2"/>
  <c r="F63" i="2"/>
  <c r="F64" i="2"/>
  <c r="H62" i="2" l="1"/>
  <c r="G63" i="2"/>
  <c r="G64" i="2"/>
  <c r="A10" i="2"/>
  <c r="H63" i="2" l="1"/>
  <c r="I62" i="2"/>
  <c r="A11" i="2"/>
  <c r="A12" i="2" l="1"/>
  <c r="I64" i="2"/>
  <c r="J62" i="2"/>
  <c r="I63" i="2"/>
  <c r="J64" i="2" l="1"/>
  <c r="K62" i="2"/>
  <c r="J63" i="2"/>
  <c r="A13" i="2"/>
  <c r="L62" i="2" l="1"/>
  <c r="K63" i="2"/>
  <c r="K64" i="2"/>
  <c r="A14" i="2"/>
  <c r="A15" i="2" l="1"/>
  <c r="L64" i="2"/>
  <c r="M62" i="2"/>
  <c r="M63" i="2" l="1"/>
  <c r="M64" i="2"/>
  <c r="N62" i="2"/>
  <c r="A16" i="2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D29" i="2"/>
  <c r="I29" i="2"/>
  <c r="H59" i="2" l="1"/>
  <c r="D59" i="2"/>
  <c r="J59" i="2"/>
  <c r="N59" i="2"/>
  <c r="S59" i="2"/>
  <c r="P59" i="2"/>
  <c r="M59" i="2"/>
  <c r="I59" i="2"/>
  <c r="F59" i="2"/>
  <c r="O59" i="2"/>
  <c r="E59" i="2"/>
  <c r="G59" i="2"/>
  <c r="Q59" i="2"/>
  <c r="K59" i="2"/>
  <c r="L59" i="2"/>
  <c r="R59" i="2"/>
  <c r="L29" i="2"/>
  <c r="O29" i="2"/>
  <c r="N29" i="2"/>
  <c r="M29" i="2"/>
  <c r="E29" i="2"/>
  <c r="S29" i="2"/>
  <c r="H29" i="2"/>
  <c r="G29" i="2"/>
  <c r="P29" i="2"/>
  <c r="K29" i="2"/>
  <c r="J29" i="2"/>
  <c r="F29" i="2"/>
  <c r="Q29" i="2"/>
  <c r="R29" i="2"/>
  <c r="N64" i="2"/>
  <c r="O62" i="2"/>
  <c r="N63" i="2"/>
  <c r="P62" i="2" l="1"/>
  <c r="O63" i="2"/>
  <c r="O64" i="2"/>
  <c r="P63" i="2" l="1"/>
  <c r="Q62" i="2"/>
  <c r="Q63" i="2" l="1"/>
  <c r="Q64" i="2"/>
  <c r="R62" i="2"/>
  <c r="R64" i="2" l="1"/>
  <c r="S62" i="2"/>
  <c r="R63" i="2"/>
  <c r="S64" i="2" l="1"/>
  <c r="S63" i="2"/>
</calcChain>
</file>

<file path=xl/sharedStrings.xml><?xml version="1.0" encoding="utf-8"?>
<sst xmlns="http://schemas.openxmlformats.org/spreadsheetml/2006/main" count="819" uniqueCount="281">
  <si>
    <t>Name</t>
  </si>
  <si>
    <t>Directory</t>
  </si>
  <si>
    <t>Point No</t>
  </si>
  <si>
    <t>x</t>
  </si>
  <si>
    <t>y</t>
  </si>
  <si>
    <t>z</t>
  </si>
  <si>
    <t xml:space="preserve"> </t>
  </si>
  <si>
    <t>Variable</t>
  </si>
  <si>
    <t>velocity-magnitude</t>
  </si>
  <si>
    <t>Point Total</t>
  </si>
  <si>
    <t>Wind_direction</t>
  </si>
  <si>
    <t>N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</si>
  <si>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</si>
  <si>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</si>
  <si>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</si>
  <si>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</si>
  <si>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</si>
  <si>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</si>
  <si>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</si>
  <si>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</si>
  <si>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</si>
  <si>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</si>
  <si>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</si>
  <si>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W</t>
  </si>
  <si>
    <t>WNW</t>
  </si>
  <si>
    <t>NW</t>
  </si>
  <si>
    <t>NNW</t>
  </si>
  <si>
    <t>Summer</t>
  </si>
  <si>
    <t>V_infinity(m/s)</t>
  </si>
  <si>
    <t>Sum</t>
  </si>
  <si>
    <t>00_to_01</t>
  </si>
  <si>
    <t>01_to_02</t>
  </si>
  <si>
    <t>02_to_03</t>
  </si>
  <si>
    <t>03_to_04</t>
  </si>
  <si>
    <t>04_to_05</t>
  </si>
  <si>
    <t>05_to_06</t>
  </si>
  <si>
    <t>06_to_07</t>
  </si>
  <si>
    <t>07_to_08</t>
  </si>
  <si>
    <t>08_to_09</t>
  </si>
  <si>
    <t>09_to_10</t>
  </si>
  <si>
    <t>10_to_11</t>
  </si>
  <si>
    <t>11_to_12</t>
  </si>
  <si>
    <t>12_to_13</t>
  </si>
  <si>
    <t>13_to_14</t>
  </si>
  <si>
    <t>14_to_15</t>
  </si>
  <si>
    <t>15_to_16</t>
  </si>
  <si>
    <t>16_to_17</t>
  </si>
  <si>
    <t>17_to_18</t>
  </si>
  <si>
    <t>18_to_19</t>
  </si>
  <si>
    <t>19_to_20</t>
  </si>
  <si>
    <t>20_to_21</t>
  </si>
  <si>
    <t>21_to_22</t>
  </si>
  <si>
    <t>22_to_23</t>
  </si>
  <si>
    <t>23_to_24</t>
  </si>
  <si>
    <t>rank</t>
  </si>
  <si>
    <t>Avg. Wind Speed</t>
  </si>
  <si>
    <t>Annual</t>
  </si>
  <si>
    <t>Normal</t>
  </si>
  <si>
    <t>Degree</t>
  </si>
  <si>
    <t>Position</t>
  </si>
  <si>
    <t>V_Avg</t>
  </si>
  <si>
    <t>at 500m</t>
  </si>
  <si>
    <t>Case No.</t>
  </si>
  <si>
    <t>Wind Direction</t>
  </si>
  <si>
    <t>Angle</t>
  </si>
  <si>
    <t>n Vaule</t>
  </si>
  <si>
    <t>Line 0</t>
  </si>
  <si>
    <t>22.5 - 112.4</t>
  </si>
  <si>
    <t>Line 1</t>
  </si>
  <si>
    <t>112.5 - 202.4</t>
  </si>
  <si>
    <t>Line 2</t>
  </si>
  <si>
    <t>202.5 - 292.4</t>
  </si>
  <si>
    <t>Line 3</t>
  </si>
  <si>
    <t>292.5 - 22.4</t>
  </si>
  <si>
    <t>NNE - 22.5</t>
  </si>
  <si>
    <t>ESE - 112.5</t>
  </si>
  <si>
    <t>SSW - 202.5</t>
  </si>
  <si>
    <t>WNW - 292.5</t>
  </si>
  <si>
    <t>Height (m)</t>
  </si>
  <si>
    <t>Velocity (m/s)</t>
  </si>
  <si>
    <t>NE - 45</t>
  </si>
  <si>
    <t>SE - 135</t>
  </si>
  <si>
    <t>SW - 225</t>
  </si>
  <si>
    <t>NW - 315</t>
  </si>
  <si>
    <t>Z</t>
  </si>
  <si>
    <t>V_ref</t>
  </si>
  <si>
    <t>ENE - 67.5</t>
  </si>
  <si>
    <t>SSE -157.5</t>
  </si>
  <si>
    <t>WSW - 247.5</t>
  </si>
  <si>
    <t>NNW 337.5</t>
  </si>
  <si>
    <t>E - 90</t>
  </si>
  <si>
    <t>S - 180</t>
  </si>
  <si>
    <t>W - 270</t>
  </si>
  <si>
    <t>N - 0</t>
  </si>
  <si>
    <t>Mesh File Name</t>
  </si>
  <si>
    <t>Mesh File Dir</t>
  </si>
  <si>
    <t>iteration step</t>
  </si>
  <si>
    <t>f_01460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</si>
  <si>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</si>
  <si>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</si>
  <si>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</si>
  <si>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</si>
  <si>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</si>
  <si>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</si>
  <si>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</si>
  <si>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</si>
  <si>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</si>
  <si>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</si>
  <si>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</si>
  <si>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</si>
  <si>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Average</t>
  </si>
  <si>
    <t>Win No</t>
  </si>
  <si>
    <t>Case Name</t>
  </si>
  <si>
    <t>Corr_T1_Low</t>
  </si>
  <si>
    <t>Corr_T1_Mid</t>
  </si>
  <si>
    <t>Corr_T1_High</t>
  </si>
  <si>
    <t>Corr_T2_Mid</t>
  </si>
  <si>
    <t>Corr_T2_High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</si>
  <si>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</si>
  <si>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</si>
  <si>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</si>
  <si>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</si>
  <si>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</si>
  <si>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</si>
  <si>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</si>
  <si>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</si>
  <si>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</si>
  <si>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</si>
  <si>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</si>
  <si>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</si>
  <si>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</si>
  <si>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</si>
  <si>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</si>
  <si>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</si>
  <si>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</si>
  <si>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Case Directory</t>
  </si>
  <si>
    <t>D:\johnx\PoLam\CFD\Sim\CommonArea\case</t>
  </si>
  <si>
    <t>Corr_T2_Low</t>
  </si>
  <si>
    <t>resDir</t>
  </si>
  <si>
    <t>D:\johnx\PoLam\CFD\Sim\CommonArea\res</t>
  </si>
  <si>
    <t>21</t>
  </si>
  <si>
    <t>22</t>
  </si>
  <si>
    <t>23</t>
  </si>
  <si>
    <t>24</t>
  </si>
  <si>
    <t>25</t>
  </si>
  <si>
    <t>viewName</t>
  </si>
  <si>
    <t>viewDir</t>
  </si>
  <si>
    <t>view1</t>
  </si>
  <si>
    <t>view2</t>
  </si>
  <si>
    <t>mass flow</t>
  </si>
  <si>
    <t>case name</t>
  </si>
  <si>
    <t>Corr_T2_Height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</si>
  <si>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</si>
  <si>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</si>
  <si>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</si>
  <si>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</si>
  <si>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</si>
  <si>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</si>
  <si>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</si>
  <si>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</si>
  <si>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</si>
  <si>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</si>
  <si>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</si>
  <si>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</si>
  <si>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</si>
  <si>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</si>
  <si>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</si>
  <si>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</si>
  <si>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</si>
  <si>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</si>
  <si>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</si>
  <si>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</si>
  <si>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</si>
  <si>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</si>
  <si>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</si>
  <si>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</si>
  <si>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</si>
  <si>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</si>
  <si>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</si>
  <si>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</si>
  <si>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</si>
  <si>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</si>
  <si>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</si>
  <si>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</si>
  <si>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</si>
  <si>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</si>
  <si>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</si>
  <si>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</si>
  <si>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</si>
  <si>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</si>
  <si>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</si>
  <si>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</si>
  <si>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</si>
  <si>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</si>
  <si>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</si>
  <si>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</si>
  <si>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</si>
  <si>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</si>
  <si>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O25</t>
  </si>
  <si>
    <t>O26</t>
  </si>
  <si>
    <t>O27</t>
  </si>
  <si>
    <t>O28</t>
  </si>
  <si>
    <t>O29</t>
  </si>
  <si>
    <t>O30</t>
  </si>
  <si>
    <t>O31</t>
  </si>
  <si>
    <t>O32</t>
  </si>
  <si>
    <t>O33</t>
  </si>
  <si>
    <t>O34</t>
  </si>
  <si>
    <t>O35</t>
  </si>
  <si>
    <t>O36</t>
  </si>
  <si>
    <t>O37</t>
  </si>
  <si>
    <t>O38</t>
  </si>
  <si>
    <t>O39</t>
  </si>
  <si>
    <t>O40</t>
  </si>
  <si>
    <t>O41</t>
  </si>
  <si>
    <t>O42</t>
  </si>
  <si>
    <t>O43</t>
  </si>
  <si>
    <t>O44</t>
  </si>
  <si>
    <t>O45</t>
  </si>
  <si>
    <t>O46</t>
  </si>
  <si>
    <t>O47</t>
  </si>
  <si>
    <t>O48</t>
  </si>
  <si>
    <t>O49</t>
  </si>
  <si>
    <t>O50</t>
  </si>
  <si>
    <t>O51</t>
  </si>
  <si>
    <t>Baseline</t>
  </si>
  <si>
    <t>Proposed</t>
  </si>
  <si>
    <t>BaseName</t>
  </si>
  <si>
    <t>ptsResult</t>
  </si>
  <si>
    <t>SSW</t>
    <phoneticPr fontId="15" type="noConversion"/>
  </si>
  <si>
    <t>SW</t>
    <phoneticPr fontId="15" type="noConversion"/>
  </si>
  <si>
    <t>O1</t>
    <phoneticPr fontId="15" type="noConversion"/>
  </si>
  <si>
    <t>O52</t>
  </si>
  <si>
    <t>O53</t>
  </si>
  <si>
    <t>O54</t>
  </si>
  <si>
    <t>O55</t>
  </si>
  <si>
    <t>O56</t>
  </si>
  <si>
    <t>O57</t>
  </si>
  <si>
    <t>O58</t>
  </si>
  <si>
    <t>O59</t>
  </si>
  <si>
    <t>O60</t>
  </si>
  <si>
    <t>O61</t>
  </si>
  <si>
    <t>O62</t>
  </si>
  <si>
    <t>O63</t>
  </si>
  <si>
    <t>O64</t>
  </si>
  <si>
    <t>O65</t>
  </si>
  <si>
    <t>O66</t>
  </si>
  <si>
    <t>O67</t>
  </si>
  <si>
    <t>O68</t>
  </si>
  <si>
    <t>O69</t>
  </si>
  <si>
    <t>O70</t>
  </si>
  <si>
    <t>O71</t>
  </si>
  <si>
    <t>O72</t>
  </si>
  <si>
    <t>O73</t>
  </si>
  <si>
    <t>O74</t>
  </si>
  <si>
    <t>Baseline</t>
    <phoneticPr fontId="15" type="noConversion"/>
  </si>
  <si>
    <t>Proposed</t>
    <phoneticPr fontId="15" type="noConversion"/>
  </si>
  <si>
    <t>SVR</t>
    <phoneticPr fontId="15" type="noConversion"/>
  </si>
  <si>
    <t>LVR</t>
    <phoneticPr fontId="15" type="noConversion"/>
  </si>
  <si>
    <t>O75</t>
  </si>
  <si>
    <t>O76</t>
  </si>
  <si>
    <t>O77</t>
  </si>
  <si>
    <t>O78</t>
  </si>
  <si>
    <t>O79</t>
  </si>
  <si>
    <t>O80</t>
  </si>
  <si>
    <t>O81</t>
  </si>
  <si>
    <t>O82</t>
  </si>
  <si>
    <t>O83</t>
  </si>
  <si>
    <t>O84</t>
  </si>
  <si>
    <t>O85</t>
  </si>
  <si>
    <t>O86</t>
  </si>
  <si>
    <t>O87</t>
  </si>
  <si>
    <t>O88</t>
  </si>
  <si>
    <t>O89</t>
  </si>
  <si>
    <t>O1</t>
  </si>
  <si>
    <t>D:\Johnx\Project_2\HoManTin\HMT_2020_May\fluent\20191015_baseline</t>
  </si>
  <si>
    <t>D:\Johnx\Project_2\HoManTin\HMT_2020_May\IEQ10</t>
  </si>
  <si>
    <t>pressure</t>
  </si>
  <si>
    <t>exportPts_pressure</t>
    <phoneticPr fontId="15" type="noConversion"/>
  </si>
  <si>
    <t>D:\Johnx\Project_2\HoManTin\HMT_2020_May\fluent</t>
  </si>
  <si>
    <t>pressure_testpoints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</si>
</sst>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"/>
    <numFmt numFmtId="177" formatCode="0.0%"/>
    <numFmt numFmtId="178" formatCode="0.0_);[Red]\(0.0\)"/>
    <numFmt numFmtId="179" formatCode="0.00_ "/>
    <numFmt numFmtId="180" formatCode="0.0_ "/>
    <numFmt numFmtId="181" formatCode="0.0000"/>
  </numFmts>
  <fonts count="16" x14ac:knownFonts="1">
    <font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宋体"/>
      <family val="2"/>
      <scheme val="minor"/>
    </font>
    <font>
      <sz val="11"/>
      <name val="宋体"/>
      <family val="2"/>
      <scheme val="minor"/>
    </font>
    <font>
      <sz val="12"/>
      <color theme="1"/>
      <name val="宋体"/>
      <family val="2"/>
      <scheme val="minor"/>
    </font>
    <font>
      <sz val="16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b/>
      <sz val="16"/>
      <color theme="1"/>
      <name val="宋体"/>
      <family val="2"/>
      <scheme val="minor"/>
    </font>
    <font>
      <sz val="24"/>
      <color rgb="FF000000"/>
      <name val="Times New Roman"/>
      <family val="1"/>
    </font>
    <font>
      <sz val="14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宋体"/>
      <family val="2"/>
      <scheme val="minor"/>
    </font>
    <font>
      <sz val="18"/>
      <color rgb="FF000000"/>
      <name val="Calibri"/>
      <family val="2"/>
    </font>
    <font>
      <sz val="9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6" fillId="0" borderId="0"/>
    <xf numFmtId="9" fontId="13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/>
    </xf>
    <xf numFmtId="0" fontId="2" fillId="0" borderId="0" xfId="0" quotePrefix="1" applyFont="1" applyAlignment="1">
      <alignment horizontal="center"/>
    </xf>
    <xf numFmtId="0" fontId="2" fillId="0" borderId="0" xfId="0" applyFont="1" applyAlignment="1">
      <alignment horizontal="center"/>
    </xf>
    <xf numFmtId="11" fontId="2" fillId="0" borderId="0" xfId="0" applyNumberFormat="1" applyFont="1" applyAlignment="1">
      <alignment horizontal="center"/>
    </xf>
    <xf numFmtId="0" fontId="2" fillId="6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3" fontId="9" fillId="5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6" fillId="0" borderId="0" xfId="2"/>
    <xf numFmtId="0" fontId="6" fillId="0" borderId="0" xfId="2" applyBorder="1"/>
    <xf numFmtId="0" fontId="8" fillId="3" borderId="1" xfId="2" applyFont="1" applyFill="1" applyBorder="1" applyAlignment="1">
      <alignment horizontal="center" vertical="center" wrapText="1"/>
    </xf>
    <xf numFmtId="0" fontId="6" fillId="3" borderId="1" xfId="2" applyFill="1" applyBorder="1" applyAlignment="1">
      <alignment horizontal="center" vertical="center"/>
    </xf>
    <xf numFmtId="0" fontId="6" fillId="0" borderId="0" xfId="2" applyFill="1" applyAlignment="1">
      <alignment horizontal="center" vertical="center"/>
    </xf>
    <xf numFmtId="0" fontId="6" fillId="3" borderId="2" xfId="2" applyFill="1" applyBorder="1" applyAlignment="1">
      <alignment horizontal="center" vertical="center"/>
    </xf>
    <xf numFmtId="0" fontId="7" fillId="3" borderId="3" xfId="2" applyFont="1" applyFill="1" applyBorder="1" applyAlignment="1">
      <alignment horizontal="center" vertical="center"/>
    </xf>
    <xf numFmtId="0" fontId="6" fillId="0" borderId="1" xfId="2" applyBorder="1" applyAlignment="1">
      <alignment horizontal="center" vertical="center"/>
    </xf>
    <xf numFmtId="0" fontId="6" fillId="0" borderId="0" xfId="2" applyAlignment="1">
      <alignment horizontal="center" vertical="center"/>
    </xf>
    <xf numFmtId="0" fontId="6" fillId="4" borderId="1" xfId="2" applyFont="1" applyFill="1" applyBorder="1" applyAlignment="1">
      <alignment horizontal="center" vertical="center"/>
    </xf>
    <xf numFmtId="0" fontId="7" fillId="3" borderId="4" xfId="2" applyFont="1" applyFill="1" applyBorder="1" applyAlignment="1">
      <alignment horizontal="center" vertical="center"/>
    </xf>
    <xf numFmtId="0" fontId="6" fillId="4" borderId="1" xfId="2" applyFill="1" applyBorder="1" applyAlignment="1">
      <alignment horizontal="center" vertical="center"/>
    </xf>
    <xf numFmtId="0" fontId="7" fillId="3" borderId="5" xfId="2" applyFont="1" applyFill="1" applyBorder="1" applyAlignment="1">
      <alignment horizontal="center" vertical="center"/>
    </xf>
    <xf numFmtId="0" fontId="6" fillId="0" borderId="0" xfId="2" applyAlignment="1">
      <alignment horizontal="center"/>
    </xf>
    <xf numFmtId="2" fontId="6" fillId="4" borderId="1" xfId="2" applyNumberFormat="1" applyFill="1" applyBorder="1" applyAlignment="1">
      <alignment horizontal="center" vertical="center"/>
    </xf>
    <xf numFmtId="0" fontId="6" fillId="0" borderId="0" xfId="2" applyBorder="1" applyAlignment="1">
      <alignment horizontal="center" vertical="center"/>
    </xf>
    <xf numFmtId="0" fontId="6" fillId="0" borderId="0" xfId="2" applyFill="1" applyBorder="1" applyAlignment="1">
      <alignment horizontal="center" vertical="center"/>
    </xf>
    <xf numFmtId="2" fontId="6" fillId="4" borderId="1" xfId="2" applyNumberFormat="1" applyFill="1" applyBorder="1" applyAlignment="1">
      <alignment horizontal="center"/>
    </xf>
    <xf numFmtId="0" fontId="6" fillId="5" borderId="1" xfId="2" applyFont="1" applyFill="1" applyBorder="1" applyAlignment="1">
      <alignment horizontal="center" vertical="center"/>
    </xf>
    <xf numFmtId="0" fontId="6" fillId="5" borderId="1" xfId="2" applyFill="1" applyBorder="1" applyAlignment="1">
      <alignment horizontal="center" vertical="center"/>
    </xf>
    <xf numFmtId="49" fontId="2" fillId="2" borderId="0" xfId="0" applyNumberFormat="1" applyFont="1" applyFill="1"/>
    <xf numFmtId="49" fontId="1" fillId="2" borderId="0" xfId="1" applyNumberFormat="1" applyFill="1"/>
    <xf numFmtId="2" fontId="0" fillId="0" borderId="0" xfId="0" applyNumberFormat="1"/>
    <xf numFmtId="10" fontId="4" fillId="2" borderId="0" xfId="3" applyNumberFormat="1" applyFont="1" applyFill="1" applyAlignment="1">
      <alignment horizontal="center" vertical="center"/>
    </xf>
    <xf numFmtId="10" fontId="0" fillId="0" borderId="0" xfId="0" applyNumberFormat="1"/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 applyAlignment="1">
      <alignment horizontal="center" vertical="center"/>
    </xf>
    <xf numFmtId="0" fontId="2" fillId="7" borderId="0" xfId="0" quotePrefix="1" applyFont="1" applyFill="1" applyAlignment="1">
      <alignment horizontal="center" vertical="center"/>
    </xf>
    <xf numFmtId="0" fontId="2" fillId="7" borderId="0" xfId="0" quotePrefix="1" applyFont="1" applyFill="1" applyAlignment="1">
      <alignment horizontal="center"/>
    </xf>
    <xf numFmtId="0" fontId="0" fillId="0" borderId="0" xfId="0" quotePrefix="1"/>
    <xf numFmtId="0" fontId="0" fillId="8" borderId="0" xfId="0" quotePrefix="1" applyFill="1"/>
    <xf numFmtId="0" fontId="0" fillId="5" borderId="0" xfId="0" quotePrefix="1" applyFill="1"/>
    <xf numFmtId="0" fontId="0" fillId="5" borderId="0" xfId="0" applyFill="1"/>
    <xf numFmtId="0" fontId="0" fillId="9" borderId="0" xfId="0" applyFill="1"/>
    <xf numFmtId="0" fontId="2" fillId="0" borderId="0" xfId="0" quotePrefix="1" applyFont="1" applyAlignment="1">
      <alignment vertical="center"/>
    </xf>
    <xf numFmtId="2" fontId="0" fillId="3" borderId="0" xfId="0" applyNumberFormat="1" applyFill="1"/>
    <xf numFmtId="0" fontId="0" fillId="3" borderId="0" xfId="0" applyFill="1"/>
    <xf numFmtId="0" fontId="2" fillId="3" borderId="0" xfId="0" quotePrefix="1" applyFont="1" applyFill="1" applyAlignment="1">
      <alignment vertical="center"/>
    </xf>
    <xf numFmtId="0" fontId="6" fillId="0" borderId="0" xfId="2" quotePrefix="1"/>
    <xf numFmtId="0" fontId="6" fillId="3" borderId="0" xfId="2" quotePrefix="1" applyFill="1"/>
    <xf numFmtId="2" fontId="4" fillId="2" borderId="0" xfId="3" applyNumberFormat="1" applyFont="1" applyFill="1" applyAlignment="1">
      <alignment horizontal="center" vertical="center"/>
    </xf>
    <xf numFmtId="177" fontId="4" fillId="2" borderId="0" xfId="0" applyNumberFormat="1" applyFont="1" applyFill="1" applyAlignment="1">
      <alignment horizontal="center" vertical="center"/>
    </xf>
    <xf numFmtId="177" fontId="4" fillId="2" borderId="0" xfId="3" applyNumberFormat="1" applyFont="1" applyFill="1" applyAlignment="1">
      <alignment horizontal="center" vertical="center"/>
    </xf>
    <xf numFmtId="178" fontId="4" fillId="2" borderId="0" xfId="3" applyNumberFormat="1" applyFont="1" applyFill="1" applyAlignment="1">
      <alignment horizontal="center" vertical="center"/>
    </xf>
    <xf numFmtId="2" fontId="0" fillId="0" borderId="0" xfId="0" applyNumberFormat="1" applyFill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179" fontId="0" fillId="0" borderId="0" xfId="0" applyNumberFormat="1"/>
    <xf numFmtId="180" fontId="4" fillId="2" borderId="0" xfId="3" applyNumberFormat="1" applyFont="1" applyFill="1" applyAlignment="1">
      <alignment horizontal="center" vertical="center"/>
    </xf>
    <xf numFmtId="176" fontId="0" fillId="3" borderId="0" xfId="0" applyNumberFormat="1" applyFill="1"/>
    <xf numFmtId="176" fontId="0" fillId="0" borderId="0" xfId="0" applyNumberFormat="1"/>
    <xf numFmtId="177" fontId="0" fillId="0" borderId="6" xfId="3" applyNumberFormat="1" applyFont="1" applyFill="1" applyBorder="1" applyAlignment="1">
      <alignment horizontal="center" vertical="center"/>
    </xf>
    <xf numFmtId="177" fontId="0" fillId="0" borderId="0" xfId="3" applyNumberFormat="1" applyFont="1"/>
    <xf numFmtId="181" fontId="0" fillId="3" borderId="0" xfId="0" applyNumberFormat="1" applyFill="1"/>
  </cellXfs>
  <cellStyles count="4">
    <cellStyle name="Normal 2" xfId="2" xr:uid="{00000000-0005-0000-0000-000000000000}"/>
    <cellStyle name="百分比" xfId="3" builtinId="5"/>
    <cellStyle name="常规" xfId="0" builtinId="0"/>
    <cellStyle name="超链接" xfId="1" builtinId="8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990645760656713E-2"/>
          <c:y val="7.9176930278836294E-2"/>
          <c:w val="0.83879969177267177"/>
          <c:h val="0.81751674139087105"/>
        </c:manualLayout>
      </c:layout>
      <c:scatterChart>
        <c:scatterStyle val="smoothMarker"/>
        <c:varyColors val="0"/>
        <c:ser>
          <c:idx val="0"/>
          <c:order val="0"/>
          <c:tx>
            <c:v>Line_0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3105EB"/>
              </a:solidFill>
              <a:ln w="9525">
                <a:noFill/>
              </a:ln>
              <a:effectLst/>
            </c:spPr>
          </c:marker>
          <c:xVal>
            <c:numRef>
              <c:f>RAMS!$T$10:$T$110</c:f>
              <c:numCache>
                <c:formatCode>0.00</c:formatCode>
                <c:ptCount val="101"/>
              </c:numCache>
            </c:numRef>
          </c:xVal>
          <c:yVal>
            <c:numRef>
              <c:f>RAMS!$S$10:$S$110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  <c:pt idx="8">
                  <c:v>80</c:v>
                </c:pt>
                <c:pt idx="9">
                  <c:v>110</c:v>
                </c:pt>
                <c:pt idx="10">
                  <c:v>140</c:v>
                </c:pt>
                <c:pt idx="11">
                  <c:v>170</c:v>
                </c:pt>
                <c:pt idx="12">
                  <c:v>200</c:v>
                </c:pt>
                <c:pt idx="13">
                  <c:v>230</c:v>
                </c:pt>
                <c:pt idx="14">
                  <c:v>260</c:v>
                </c:pt>
                <c:pt idx="15">
                  <c:v>290</c:v>
                </c:pt>
                <c:pt idx="16">
                  <c:v>320</c:v>
                </c:pt>
                <c:pt idx="17">
                  <c:v>350</c:v>
                </c:pt>
                <c:pt idx="18">
                  <c:v>380</c:v>
                </c:pt>
                <c:pt idx="19">
                  <c:v>410</c:v>
                </c:pt>
                <c:pt idx="20">
                  <c:v>440</c:v>
                </c:pt>
                <c:pt idx="21">
                  <c:v>470</c:v>
                </c:pt>
                <c:pt idx="22">
                  <c:v>500</c:v>
                </c:pt>
                <c:pt idx="23">
                  <c:v>510</c:v>
                </c:pt>
                <c:pt idx="24">
                  <c:v>520</c:v>
                </c:pt>
                <c:pt idx="25">
                  <c:v>530</c:v>
                </c:pt>
                <c:pt idx="26">
                  <c:v>540</c:v>
                </c:pt>
                <c:pt idx="27">
                  <c:v>550</c:v>
                </c:pt>
                <c:pt idx="28">
                  <c:v>560</c:v>
                </c:pt>
                <c:pt idx="29">
                  <c:v>570</c:v>
                </c:pt>
                <c:pt idx="30">
                  <c:v>580</c:v>
                </c:pt>
                <c:pt idx="31">
                  <c:v>590</c:v>
                </c:pt>
                <c:pt idx="32">
                  <c:v>600</c:v>
                </c:pt>
                <c:pt idx="33">
                  <c:v>610</c:v>
                </c:pt>
                <c:pt idx="34">
                  <c:v>620</c:v>
                </c:pt>
                <c:pt idx="35">
                  <c:v>630</c:v>
                </c:pt>
                <c:pt idx="36">
                  <c:v>640</c:v>
                </c:pt>
                <c:pt idx="37">
                  <c:v>650</c:v>
                </c:pt>
                <c:pt idx="38">
                  <c:v>660</c:v>
                </c:pt>
                <c:pt idx="39">
                  <c:v>670</c:v>
                </c:pt>
                <c:pt idx="40">
                  <c:v>680</c:v>
                </c:pt>
                <c:pt idx="41">
                  <c:v>690</c:v>
                </c:pt>
                <c:pt idx="42">
                  <c:v>700</c:v>
                </c:pt>
                <c:pt idx="43">
                  <c:v>710</c:v>
                </c:pt>
                <c:pt idx="44">
                  <c:v>720</c:v>
                </c:pt>
                <c:pt idx="45">
                  <c:v>730</c:v>
                </c:pt>
                <c:pt idx="46">
                  <c:v>740</c:v>
                </c:pt>
                <c:pt idx="47">
                  <c:v>750</c:v>
                </c:pt>
                <c:pt idx="48">
                  <c:v>760</c:v>
                </c:pt>
                <c:pt idx="49">
                  <c:v>770</c:v>
                </c:pt>
                <c:pt idx="50">
                  <c:v>780</c:v>
                </c:pt>
                <c:pt idx="51">
                  <c:v>790</c:v>
                </c:pt>
                <c:pt idx="52">
                  <c:v>800</c:v>
                </c:pt>
                <c:pt idx="53">
                  <c:v>810</c:v>
                </c:pt>
                <c:pt idx="54">
                  <c:v>820</c:v>
                </c:pt>
                <c:pt idx="55">
                  <c:v>830</c:v>
                </c:pt>
                <c:pt idx="56">
                  <c:v>840</c:v>
                </c:pt>
                <c:pt idx="57">
                  <c:v>850</c:v>
                </c:pt>
                <c:pt idx="58">
                  <c:v>860</c:v>
                </c:pt>
                <c:pt idx="59">
                  <c:v>870</c:v>
                </c:pt>
                <c:pt idx="60">
                  <c:v>880</c:v>
                </c:pt>
                <c:pt idx="61">
                  <c:v>890</c:v>
                </c:pt>
                <c:pt idx="62">
                  <c:v>900</c:v>
                </c:pt>
                <c:pt idx="63">
                  <c:v>910</c:v>
                </c:pt>
                <c:pt idx="64">
                  <c:v>920</c:v>
                </c:pt>
                <c:pt idx="65">
                  <c:v>930</c:v>
                </c:pt>
                <c:pt idx="66">
                  <c:v>940</c:v>
                </c:pt>
                <c:pt idx="67">
                  <c:v>950</c:v>
                </c:pt>
                <c:pt idx="68">
                  <c:v>960</c:v>
                </c:pt>
                <c:pt idx="69">
                  <c:v>970</c:v>
                </c:pt>
                <c:pt idx="70">
                  <c:v>980</c:v>
                </c:pt>
                <c:pt idx="71">
                  <c:v>990</c:v>
                </c:pt>
                <c:pt idx="72">
                  <c:v>1000</c:v>
                </c:pt>
                <c:pt idx="73">
                  <c:v>1010</c:v>
                </c:pt>
                <c:pt idx="74">
                  <c:v>1020</c:v>
                </c:pt>
                <c:pt idx="75">
                  <c:v>1030</c:v>
                </c:pt>
                <c:pt idx="76">
                  <c:v>1040</c:v>
                </c:pt>
                <c:pt idx="77">
                  <c:v>1050</c:v>
                </c:pt>
                <c:pt idx="78">
                  <c:v>1060</c:v>
                </c:pt>
                <c:pt idx="79">
                  <c:v>1070</c:v>
                </c:pt>
                <c:pt idx="80">
                  <c:v>1080</c:v>
                </c:pt>
                <c:pt idx="81">
                  <c:v>1090</c:v>
                </c:pt>
                <c:pt idx="82">
                  <c:v>1100</c:v>
                </c:pt>
                <c:pt idx="83">
                  <c:v>1110</c:v>
                </c:pt>
                <c:pt idx="84">
                  <c:v>1120</c:v>
                </c:pt>
                <c:pt idx="85">
                  <c:v>1130</c:v>
                </c:pt>
                <c:pt idx="86">
                  <c:v>1140</c:v>
                </c:pt>
                <c:pt idx="87">
                  <c:v>1150</c:v>
                </c:pt>
                <c:pt idx="88">
                  <c:v>1160</c:v>
                </c:pt>
                <c:pt idx="89">
                  <c:v>1170</c:v>
                </c:pt>
                <c:pt idx="90">
                  <c:v>1180</c:v>
                </c:pt>
                <c:pt idx="91">
                  <c:v>1190</c:v>
                </c:pt>
                <c:pt idx="92">
                  <c:v>1200</c:v>
                </c:pt>
                <c:pt idx="93">
                  <c:v>1210</c:v>
                </c:pt>
                <c:pt idx="94">
                  <c:v>1220</c:v>
                </c:pt>
                <c:pt idx="95">
                  <c:v>1230</c:v>
                </c:pt>
                <c:pt idx="96">
                  <c:v>1240</c:v>
                </c:pt>
                <c:pt idx="97">
                  <c:v>1250</c:v>
                </c:pt>
                <c:pt idx="98">
                  <c:v>1260</c:v>
                </c:pt>
                <c:pt idx="99">
                  <c:v>1270</c:v>
                </c:pt>
                <c:pt idx="100">
                  <c:v>1280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EB-48A5-859C-D6DBCB9D5DF2}"/>
            </c:ext>
          </c:extLst>
        </c:ser>
        <c:ser>
          <c:idx val="1"/>
          <c:order val="1"/>
          <c:tx>
            <c:v>Line_1</c:v>
          </c:tx>
          <c:spPr>
            <a:ln w="19050" cap="rnd">
              <a:noFill/>
              <a:prstDash val="lgDash"/>
              <a:round/>
            </a:ln>
            <a:effectLst/>
          </c:spPr>
          <c:marker>
            <c:symbol val="x"/>
            <c:size val="4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RAMS!$W$10:$W$110</c:f>
              <c:numCache>
                <c:formatCode>0.00</c:formatCode>
                <c:ptCount val="101"/>
              </c:numCache>
            </c:numRef>
          </c:xVal>
          <c:yVal>
            <c:numRef>
              <c:f>RAMS!$V$10:$V$110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  <c:pt idx="8">
                  <c:v>80</c:v>
                </c:pt>
                <c:pt idx="9">
                  <c:v>110</c:v>
                </c:pt>
                <c:pt idx="10">
                  <c:v>140</c:v>
                </c:pt>
                <c:pt idx="11">
                  <c:v>170</c:v>
                </c:pt>
                <c:pt idx="12">
                  <c:v>200</c:v>
                </c:pt>
                <c:pt idx="13">
                  <c:v>230</c:v>
                </c:pt>
                <c:pt idx="14">
                  <c:v>260</c:v>
                </c:pt>
                <c:pt idx="15">
                  <c:v>290</c:v>
                </c:pt>
                <c:pt idx="16">
                  <c:v>320</c:v>
                </c:pt>
                <c:pt idx="17">
                  <c:v>350</c:v>
                </c:pt>
                <c:pt idx="18">
                  <c:v>380</c:v>
                </c:pt>
                <c:pt idx="19">
                  <c:v>410</c:v>
                </c:pt>
                <c:pt idx="20">
                  <c:v>440</c:v>
                </c:pt>
                <c:pt idx="21">
                  <c:v>470</c:v>
                </c:pt>
                <c:pt idx="22">
                  <c:v>500</c:v>
                </c:pt>
                <c:pt idx="23">
                  <c:v>510</c:v>
                </c:pt>
                <c:pt idx="24">
                  <c:v>520</c:v>
                </c:pt>
                <c:pt idx="25">
                  <c:v>530</c:v>
                </c:pt>
                <c:pt idx="26">
                  <c:v>540</c:v>
                </c:pt>
                <c:pt idx="27">
                  <c:v>550</c:v>
                </c:pt>
                <c:pt idx="28">
                  <c:v>560</c:v>
                </c:pt>
                <c:pt idx="29">
                  <c:v>570</c:v>
                </c:pt>
                <c:pt idx="30">
                  <c:v>580</c:v>
                </c:pt>
                <c:pt idx="31">
                  <c:v>590</c:v>
                </c:pt>
                <c:pt idx="32">
                  <c:v>600</c:v>
                </c:pt>
                <c:pt idx="33">
                  <c:v>610</c:v>
                </c:pt>
                <c:pt idx="34">
                  <c:v>620</c:v>
                </c:pt>
                <c:pt idx="35">
                  <c:v>630</c:v>
                </c:pt>
                <c:pt idx="36">
                  <c:v>640</c:v>
                </c:pt>
                <c:pt idx="37">
                  <c:v>650</c:v>
                </c:pt>
                <c:pt idx="38">
                  <c:v>660</c:v>
                </c:pt>
                <c:pt idx="39">
                  <c:v>670</c:v>
                </c:pt>
                <c:pt idx="40">
                  <c:v>680</c:v>
                </c:pt>
                <c:pt idx="41">
                  <c:v>690</c:v>
                </c:pt>
                <c:pt idx="42">
                  <c:v>700</c:v>
                </c:pt>
                <c:pt idx="43">
                  <c:v>710</c:v>
                </c:pt>
                <c:pt idx="44">
                  <c:v>720</c:v>
                </c:pt>
                <c:pt idx="45">
                  <c:v>730</c:v>
                </c:pt>
                <c:pt idx="46">
                  <c:v>740</c:v>
                </c:pt>
                <c:pt idx="47">
                  <c:v>750</c:v>
                </c:pt>
                <c:pt idx="48">
                  <c:v>760</c:v>
                </c:pt>
                <c:pt idx="49">
                  <c:v>770</c:v>
                </c:pt>
                <c:pt idx="50">
                  <c:v>780</c:v>
                </c:pt>
                <c:pt idx="51">
                  <c:v>790</c:v>
                </c:pt>
                <c:pt idx="52">
                  <c:v>800</c:v>
                </c:pt>
                <c:pt idx="53">
                  <c:v>810</c:v>
                </c:pt>
                <c:pt idx="54">
                  <c:v>820</c:v>
                </c:pt>
                <c:pt idx="55">
                  <c:v>830</c:v>
                </c:pt>
                <c:pt idx="56">
                  <c:v>840</c:v>
                </c:pt>
                <c:pt idx="57">
                  <c:v>850</c:v>
                </c:pt>
                <c:pt idx="58">
                  <c:v>860</c:v>
                </c:pt>
                <c:pt idx="59">
                  <c:v>870</c:v>
                </c:pt>
                <c:pt idx="60">
                  <c:v>880</c:v>
                </c:pt>
                <c:pt idx="61">
                  <c:v>890</c:v>
                </c:pt>
                <c:pt idx="62">
                  <c:v>900</c:v>
                </c:pt>
                <c:pt idx="63">
                  <c:v>910</c:v>
                </c:pt>
                <c:pt idx="64">
                  <c:v>920</c:v>
                </c:pt>
                <c:pt idx="65">
                  <c:v>930</c:v>
                </c:pt>
                <c:pt idx="66">
                  <c:v>940</c:v>
                </c:pt>
                <c:pt idx="67">
                  <c:v>950</c:v>
                </c:pt>
                <c:pt idx="68">
                  <c:v>960</c:v>
                </c:pt>
                <c:pt idx="69">
                  <c:v>970</c:v>
                </c:pt>
                <c:pt idx="70">
                  <c:v>980</c:v>
                </c:pt>
                <c:pt idx="71">
                  <c:v>990</c:v>
                </c:pt>
                <c:pt idx="72">
                  <c:v>1000</c:v>
                </c:pt>
                <c:pt idx="73">
                  <c:v>1010</c:v>
                </c:pt>
                <c:pt idx="74">
                  <c:v>1020</c:v>
                </c:pt>
                <c:pt idx="75">
                  <c:v>1030</c:v>
                </c:pt>
                <c:pt idx="76">
                  <c:v>1040</c:v>
                </c:pt>
                <c:pt idx="77">
                  <c:v>1050</c:v>
                </c:pt>
                <c:pt idx="78">
                  <c:v>1060</c:v>
                </c:pt>
                <c:pt idx="79">
                  <c:v>1070</c:v>
                </c:pt>
                <c:pt idx="80">
                  <c:v>1080</c:v>
                </c:pt>
                <c:pt idx="81">
                  <c:v>1090</c:v>
                </c:pt>
                <c:pt idx="82">
                  <c:v>1100</c:v>
                </c:pt>
                <c:pt idx="83">
                  <c:v>1110</c:v>
                </c:pt>
                <c:pt idx="84">
                  <c:v>1120</c:v>
                </c:pt>
                <c:pt idx="85">
                  <c:v>1130</c:v>
                </c:pt>
                <c:pt idx="86">
                  <c:v>1140</c:v>
                </c:pt>
                <c:pt idx="87">
                  <c:v>1150</c:v>
                </c:pt>
                <c:pt idx="88">
                  <c:v>1160</c:v>
                </c:pt>
                <c:pt idx="89">
                  <c:v>1170</c:v>
                </c:pt>
                <c:pt idx="90">
                  <c:v>1180</c:v>
                </c:pt>
                <c:pt idx="91">
                  <c:v>1190</c:v>
                </c:pt>
                <c:pt idx="92">
                  <c:v>1200</c:v>
                </c:pt>
                <c:pt idx="93">
                  <c:v>1210</c:v>
                </c:pt>
                <c:pt idx="94">
                  <c:v>1220</c:v>
                </c:pt>
                <c:pt idx="95">
                  <c:v>1230</c:v>
                </c:pt>
                <c:pt idx="96">
                  <c:v>1240</c:v>
                </c:pt>
                <c:pt idx="97">
                  <c:v>1250</c:v>
                </c:pt>
                <c:pt idx="98">
                  <c:v>1260</c:v>
                </c:pt>
                <c:pt idx="99">
                  <c:v>1270</c:v>
                </c:pt>
                <c:pt idx="100">
                  <c:v>1280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EB-48A5-859C-D6DBCB9D5DF2}"/>
            </c:ext>
          </c:extLst>
        </c:ser>
        <c:ser>
          <c:idx val="2"/>
          <c:order val="2"/>
          <c:tx>
            <c:v>Line_2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RAMS!$Z$10:$Z$110</c:f>
              <c:numCache>
                <c:formatCode>0.00</c:formatCode>
                <c:ptCount val="101"/>
              </c:numCache>
            </c:numRef>
          </c:xVal>
          <c:yVal>
            <c:numRef>
              <c:f>RAMS!$Y$10:$Y$110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  <c:pt idx="8">
                  <c:v>80</c:v>
                </c:pt>
                <c:pt idx="9">
                  <c:v>110</c:v>
                </c:pt>
                <c:pt idx="10">
                  <c:v>140</c:v>
                </c:pt>
                <c:pt idx="11">
                  <c:v>170</c:v>
                </c:pt>
                <c:pt idx="12">
                  <c:v>200</c:v>
                </c:pt>
                <c:pt idx="13">
                  <c:v>230</c:v>
                </c:pt>
                <c:pt idx="14">
                  <c:v>260</c:v>
                </c:pt>
                <c:pt idx="15">
                  <c:v>290</c:v>
                </c:pt>
                <c:pt idx="16">
                  <c:v>320</c:v>
                </c:pt>
                <c:pt idx="17">
                  <c:v>350</c:v>
                </c:pt>
                <c:pt idx="18">
                  <c:v>380</c:v>
                </c:pt>
                <c:pt idx="19">
                  <c:v>410</c:v>
                </c:pt>
                <c:pt idx="20">
                  <c:v>440</c:v>
                </c:pt>
                <c:pt idx="21">
                  <c:v>470</c:v>
                </c:pt>
                <c:pt idx="22">
                  <c:v>500</c:v>
                </c:pt>
                <c:pt idx="23">
                  <c:v>510</c:v>
                </c:pt>
                <c:pt idx="24">
                  <c:v>520</c:v>
                </c:pt>
                <c:pt idx="25">
                  <c:v>530</c:v>
                </c:pt>
                <c:pt idx="26">
                  <c:v>540</c:v>
                </c:pt>
                <c:pt idx="27">
                  <c:v>550</c:v>
                </c:pt>
                <c:pt idx="28">
                  <c:v>560</c:v>
                </c:pt>
                <c:pt idx="29">
                  <c:v>570</c:v>
                </c:pt>
                <c:pt idx="30">
                  <c:v>580</c:v>
                </c:pt>
                <c:pt idx="31">
                  <c:v>590</c:v>
                </c:pt>
                <c:pt idx="32">
                  <c:v>600</c:v>
                </c:pt>
                <c:pt idx="33">
                  <c:v>610</c:v>
                </c:pt>
                <c:pt idx="34">
                  <c:v>620</c:v>
                </c:pt>
                <c:pt idx="35">
                  <c:v>630</c:v>
                </c:pt>
                <c:pt idx="36">
                  <c:v>640</c:v>
                </c:pt>
                <c:pt idx="37">
                  <c:v>650</c:v>
                </c:pt>
                <c:pt idx="38">
                  <c:v>660</c:v>
                </c:pt>
                <c:pt idx="39">
                  <c:v>670</c:v>
                </c:pt>
                <c:pt idx="40">
                  <c:v>680</c:v>
                </c:pt>
                <c:pt idx="41">
                  <c:v>690</c:v>
                </c:pt>
                <c:pt idx="42">
                  <c:v>700</c:v>
                </c:pt>
                <c:pt idx="43">
                  <c:v>710</c:v>
                </c:pt>
                <c:pt idx="44">
                  <c:v>720</c:v>
                </c:pt>
                <c:pt idx="45">
                  <c:v>730</c:v>
                </c:pt>
                <c:pt idx="46">
                  <c:v>740</c:v>
                </c:pt>
                <c:pt idx="47">
                  <c:v>750</c:v>
                </c:pt>
                <c:pt idx="48">
                  <c:v>760</c:v>
                </c:pt>
                <c:pt idx="49">
                  <c:v>770</c:v>
                </c:pt>
                <c:pt idx="50">
                  <c:v>780</c:v>
                </c:pt>
                <c:pt idx="51">
                  <c:v>790</c:v>
                </c:pt>
                <c:pt idx="52">
                  <c:v>800</c:v>
                </c:pt>
                <c:pt idx="53">
                  <c:v>810</c:v>
                </c:pt>
                <c:pt idx="54">
                  <c:v>820</c:v>
                </c:pt>
                <c:pt idx="55">
                  <c:v>830</c:v>
                </c:pt>
                <c:pt idx="56">
                  <c:v>840</c:v>
                </c:pt>
                <c:pt idx="57">
                  <c:v>850</c:v>
                </c:pt>
                <c:pt idx="58">
                  <c:v>860</c:v>
                </c:pt>
                <c:pt idx="59">
                  <c:v>870</c:v>
                </c:pt>
                <c:pt idx="60">
                  <c:v>880</c:v>
                </c:pt>
                <c:pt idx="61">
                  <c:v>890</c:v>
                </c:pt>
                <c:pt idx="62">
                  <c:v>900</c:v>
                </c:pt>
                <c:pt idx="63">
                  <c:v>910</c:v>
                </c:pt>
                <c:pt idx="64">
                  <c:v>920</c:v>
                </c:pt>
                <c:pt idx="65">
                  <c:v>930</c:v>
                </c:pt>
                <c:pt idx="66">
                  <c:v>940</c:v>
                </c:pt>
                <c:pt idx="67">
                  <c:v>950</c:v>
                </c:pt>
                <c:pt idx="68">
                  <c:v>960</c:v>
                </c:pt>
                <c:pt idx="69">
                  <c:v>970</c:v>
                </c:pt>
                <c:pt idx="70">
                  <c:v>980</c:v>
                </c:pt>
                <c:pt idx="71">
                  <c:v>990</c:v>
                </c:pt>
                <c:pt idx="72">
                  <c:v>1000</c:v>
                </c:pt>
                <c:pt idx="73">
                  <c:v>1010</c:v>
                </c:pt>
                <c:pt idx="74">
                  <c:v>1020</c:v>
                </c:pt>
                <c:pt idx="75">
                  <c:v>1030</c:v>
                </c:pt>
                <c:pt idx="76">
                  <c:v>1040</c:v>
                </c:pt>
                <c:pt idx="77">
                  <c:v>1050</c:v>
                </c:pt>
                <c:pt idx="78">
                  <c:v>1060</c:v>
                </c:pt>
                <c:pt idx="79">
                  <c:v>1070</c:v>
                </c:pt>
                <c:pt idx="80">
                  <c:v>1080</c:v>
                </c:pt>
                <c:pt idx="81">
                  <c:v>1090</c:v>
                </c:pt>
                <c:pt idx="82">
                  <c:v>1100</c:v>
                </c:pt>
                <c:pt idx="83">
                  <c:v>1110</c:v>
                </c:pt>
                <c:pt idx="84">
                  <c:v>1120</c:v>
                </c:pt>
                <c:pt idx="85">
                  <c:v>1130</c:v>
                </c:pt>
                <c:pt idx="86">
                  <c:v>1140</c:v>
                </c:pt>
                <c:pt idx="87">
                  <c:v>1150</c:v>
                </c:pt>
                <c:pt idx="88">
                  <c:v>1160</c:v>
                </c:pt>
                <c:pt idx="89">
                  <c:v>1170</c:v>
                </c:pt>
                <c:pt idx="90">
                  <c:v>1180</c:v>
                </c:pt>
                <c:pt idx="91">
                  <c:v>1190</c:v>
                </c:pt>
                <c:pt idx="92">
                  <c:v>1200</c:v>
                </c:pt>
                <c:pt idx="93">
                  <c:v>1210</c:v>
                </c:pt>
                <c:pt idx="94">
                  <c:v>1220</c:v>
                </c:pt>
                <c:pt idx="95">
                  <c:v>1230</c:v>
                </c:pt>
                <c:pt idx="96">
                  <c:v>1240</c:v>
                </c:pt>
                <c:pt idx="97">
                  <c:v>1250</c:v>
                </c:pt>
                <c:pt idx="98">
                  <c:v>1260</c:v>
                </c:pt>
                <c:pt idx="99">
                  <c:v>1270</c:v>
                </c:pt>
                <c:pt idx="100">
                  <c:v>1280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EB-48A5-859C-D6DBCB9D5DF2}"/>
            </c:ext>
          </c:extLst>
        </c:ser>
        <c:ser>
          <c:idx val="3"/>
          <c:order val="3"/>
          <c:tx>
            <c:v>Line_3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diamond"/>
            <c:size val="6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xVal>
            <c:numRef>
              <c:f>RAMS!$AC$10:$AC$110</c:f>
              <c:numCache>
                <c:formatCode>0.00</c:formatCode>
                <c:ptCount val="101"/>
                <c:pt idx="0">
                  <c:v>0</c:v>
                </c:pt>
                <c:pt idx="1">
                  <c:v>2.477514405350985</c:v>
                </c:pt>
                <c:pt idx="2">
                  <c:v>2.7489743507857729</c:v>
                </c:pt>
                <c:pt idx="3">
                  <c:v>2.9213552782112844</c:v>
                </c:pt>
                <c:pt idx="4">
                  <c:v>3.050178019129417</c:v>
                </c:pt>
                <c:pt idx="5">
                  <c:v>3.1539999999999999</c:v>
                </c:pt>
                <c:pt idx="6">
                  <c:v>3.2291851851851852</c:v>
                </c:pt>
                <c:pt idx="7">
                  <c:v>3.4064000000000001</c:v>
                </c:pt>
                <c:pt idx="8">
                  <c:v>3.5561724137931034</c:v>
                </c:pt>
                <c:pt idx="9">
                  <c:v>3.7527241379310348</c:v>
                </c:pt>
                <c:pt idx="10">
                  <c:v>3.9492758620689656</c:v>
                </c:pt>
                <c:pt idx="11">
                  <c:v>4.0880000000000001</c:v>
                </c:pt>
                <c:pt idx="12">
                  <c:v>4.1761249999999999</c:v>
                </c:pt>
                <c:pt idx="13">
                  <c:v>4.2488620689655177</c:v>
                </c:pt>
                <c:pt idx="14">
                  <c:v>4.2985172413793107</c:v>
                </c:pt>
                <c:pt idx="15">
                  <c:v>4.3481724137931037</c:v>
                </c:pt>
                <c:pt idx="16">
                  <c:v>4.3666301369863012</c:v>
                </c:pt>
                <c:pt idx="17">
                  <c:v>4.3538904109589041</c:v>
                </c:pt>
                <c:pt idx="18">
                  <c:v>4.3355833333333331</c:v>
                </c:pt>
                <c:pt idx="19">
                  <c:v>4.2393333333333327</c:v>
                </c:pt>
                <c:pt idx="20">
                  <c:v>4.1430833333333332</c:v>
                </c:pt>
                <c:pt idx="21">
                  <c:v>4.1074000000000002</c:v>
                </c:pt>
                <c:pt idx="22">
                  <c:v>4.1020000000000003</c:v>
                </c:pt>
                <c:pt idx="23">
                  <c:v>4.1020000000000003</c:v>
                </c:pt>
                <c:pt idx="24">
                  <c:v>4.1020000000000003</c:v>
                </c:pt>
                <c:pt idx="25">
                  <c:v>4.1020000000000003</c:v>
                </c:pt>
                <c:pt idx="26">
                  <c:v>4.1020000000000003</c:v>
                </c:pt>
                <c:pt idx="27">
                  <c:v>4.1020000000000003</c:v>
                </c:pt>
                <c:pt idx="28">
                  <c:v>4.1020000000000003</c:v>
                </c:pt>
                <c:pt idx="29">
                  <c:v>4.1020000000000003</c:v>
                </c:pt>
                <c:pt idx="30">
                  <c:v>4.1020000000000003</c:v>
                </c:pt>
                <c:pt idx="31">
                  <c:v>4.1020000000000003</c:v>
                </c:pt>
                <c:pt idx="32">
                  <c:v>4.1020000000000003</c:v>
                </c:pt>
                <c:pt idx="33">
                  <c:v>4.1020000000000003</c:v>
                </c:pt>
                <c:pt idx="34">
                  <c:v>4.1020000000000003</c:v>
                </c:pt>
                <c:pt idx="35">
                  <c:v>4.1020000000000003</c:v>
                </c:pt>
                <c:pt idx="36">
                  <c:v>4.1020000000000003</c:v>
                </c:pt>
                <c:pt idx="37">
                  <c:v>4.1020000000000003</c:v>
                </c:pt>
                <c:pt idx="38">
                  <c:v>4.1020000000000003</c:v>
                </c:pt>
                <c:pt idx="39">
                  <c:v>4.1020000000000003</c:v>
                </c:pt>
                <c:pt idx="40">
                  <c:v>4.1020000000000003</c:v>
                </c:pt>
                <c:pt idx="41">
                  <c:v>4.1020000000000003</c:v>
                </c:pt>
                <c:pt idx="42">
                  <c:v>4.1020000000000003</c:v>
                </c:pt>
                <c:pt idx="43">
                  <c:v>4.1020000000000003</c:v>
                </c:pt>
                <c:pt idx="44">
                  <c:v>4.1020000000000003</c:v>
                </c:pt>
                <c:pt idx="45">
                  <c:v>4.1020000000000003</c:v>
                </c:pt>
                <c:pt idx="46">
                  <c:v>4.1020000000000003</c:v>
                </c:pt>
                <c:pt idx="47">
                  <c:v>4.1020000000000003</c:v>
                </c:pt>
                <c:pt idx="48">
                  <c:v>4.1020000000000003</c:v>
                </c:pt>
                <c:pt idx="49">
                  <c:v>4.1020000000000003</c:v>
                </c:pt>
                <c:pt idx="50">
                  <c:v>4.1020000000000003</c:v>
                </c:pt>
                <c:pt idx="51">
                  <c:v>4.1020000000000003</c:v>
                </c:pt>
                <c:pt idx="52">
                  <c:v>4.1020000000000003</c:v>
                </c:pt>
                <c:pt idx="53">
                  <c:v>4.1020000000000003</c:v>
                </c:pt>
                <c:pt idx="54">
                  <c:v>4.1020000000000003</c:v>
                </c:pt>
                <c:pt idx="55">
                  <c:v>4.1020000000000003</c:v>
                </c:pt>
                <c:pt idx="56">
                  <c:v>4.1020000000000003</c:v>
                </c:pt>
                <c:pt idx="57">
                  <c:v>4.1020000000000003</c:v>
                </c:pt>
                <c:pt idx="58">
                  <c:v>4.1020000000000003</c:v>
                </c:pt>
                <c:pt idx="59">
                  <c:v>4.1020000000000003</c:v>
                </c:pt>
                <c:pt idx="60">
                  <c:v>4.1020000000000003</c:v>
                </c:pt>
                <c:pt idx="61">
                  <c:v>4.1020000000000003</c:v>
                </c:pt>
                <c:pt idx="62">
                  <c:v>4.1020000000000003</c:v>
                </c:pt>
                <c:pt idx="63">
                  <c:v>4.1020000000000003</c:v>
                </c:pt>
                <c:pt idx="64">
                  <c:v>4.1020000000000003</c:v>
                </c:pt>
                <c:pt idx="65">
                  <c:v>4.1020000000000003</c:v>
                </c:pt>
                <c:pt idx="66">
                  <c:v>4.1020000000000003</c:v>
                </c:pt>
                <c:pt idx="67">
                  <c:v>4.1020000000000003</c:v>
                </c:pt>
                <c:pt idx="68">
                  <c:v>4.1020000000000003</c:v>
                </c:pt>
                <c:pt idx="69">
                  <c:v>4.1020000000000003</c:v>
                </c:pt>
                <c:pt idx="70">
                  <c:v>4.1020000000000003</c:v>
                </c:pt>
                <c:pt idx="71">
                  <c:v>4.1020000000000003</c:v>
                </c:pt>
                <c:pt idx="72">
                  <c:v>4.1020000000000003</c:v>
                </c:pt>
                <c:pt idx="73">
                  <c:v>4.1020000000000003</c:v>
                </c:pt>
                <c:pt idx="74">
                  <c:v>4.1020000000000003</c:v>
                </c:pt>
                <c:pt idx="75">
                  <c:v>4.1020000000000003</c:v>
                </c:pt>
                <c:pt idx="76">
                  <c:v>4.1020000000000003</c:v>
                </c:pt>
                <c:pt idx="77">
                  <c:v>4.1020000000000003</c:v>
                </c:pt>
                <c:pt idx="78">
                  <c:v>4.1020000000000003</c:v>
                </c:pt>
                <c:pt idx="79">
                  <c:v>4.1020000000000003</c:v>
                </c:pt>
                <c:pt idx="80">
                  <c:v>4.1020000000000003</c:v>
                </c:pt>
                <c:pt idx="81">
                  <c:v>4.1020000000000003</c:v>
                </c:pt>
                <c:pt idx="82">
                  <c:v>4.1020000000000003</c:v>
                </c:pt>
                <c:pt idx="83">
                  <c:v>4.1020000000000003</c:v>
                </c:pt>
                <c:pt idx="84">
                  <c:v>4.1020000000000003</c:v>
                </c:pt>
                <c:pt idx="85">
                  <c:v>4.1020000000000003</c:v>
                </c:pt>
                <c:pt idx="86">
                  <c:v>4.1020000000000003</c:v>
                </c:pt>
                <c:pt idx="87">
                  <c:v>4.1020000000000003</c:v>
                </c:pt>
                <c:pt idx="88">
                  <c:v>4.1020000000000003</c:v>
                </c:pt>
                <c:pt idx="89">
                  <c:v>4.1020000000000003</c:v>
                </c:pt>
                <c:pt idx="90">
                  <c:v>4.1020000000000003</c:v>
                </c:pt>
                <c:pt idx="91">
                  <c:v>4.1020000000000003</c:v>
                </c:pt>
                <c:pt idx="92">
                  <c:v>4.1020000000000003</c:v>
                </c:pt>
                <c:pt idx="93">
                  <c:v>4.1020000000000003</c:v>
                </c:pt>
                <c:pt idx="94">
                  <c:v>4.1020000000000003</c:v>
                </c:pt>
                <c:pt idx="95">
                  <c:v>4.1020000000000003</c:v>
                </c:pt>
                <c:pt idx="96">
                  <c:v>4.1020000000000003</c:v>
                </c:pt>
                <c:pt idx="97">
                  <c:v>4.1020000000000003</c:v>
                </c:pt>
                <c:pt idx="98">
                  <c:v>4.1020000000000003</c:v>
                </c:pt>
                <c:pt idx="99">
                  <c:v>4.1020000000000003</c:v>
                </c:pt>
                <c:pt idx="100">
                  <c:v>4.1020000000000003</c:v>
                </c:pt>
              </c:numCache>
            </c:numRef>
          </c:xVal>
          <c:yVal>
            <c:numRef>
              <c:f>RAMS!$AB$10:$AB$110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  <c:pt idx="8">
                  <c:v>80</c:v>
                </c:pt>
                <c:pt idx="9">
                  <c:v>110</c:v>
                </c:pt>
                <c:pt idx="10">
                  <c:v>140</c:v>
                </c:pt>
                <c:pt idx="11">
                  <c:v>170</c:v>
                </c:pt>
                <c:pt idx="12">
                  <c:v>200</c:v>
                </c:pt>
                <c:pt idx="13">
                  <c:v>230</c:v>
                </c:pt>
                <c:pt idx="14">
                  <c:v>260</c:v>
                </c:pt>
                <c:pt idx="15">
                  <c:v>290</c:v>
                </c:pt>
                <c:pt idx="16">
                  <c:v>320</c:v>
                </c:pt>
                <c:pt idx="17">
                  <c:v>350</c:v>
                </c:pt>
                <c:pt idx="18">
                  <c:v>380</c:v>
                </c:pt>
                <c:pt idx="19">
                  <c:v>410</c:v>
                </c:pt>
                <c:pt idx="20">
                  <c:v>440</c:v>
                </c:pt>
                <c:pt idx="21">
                  <c:v>470</c:v>
                </c:pt>
                <c:pt idx="22">
                  <c:v>500</c:v>
                </c:pt>
                <c:pt idx="23">
                  <c:v>510</c:v>
                </c:pt>
                <c:pt idx="24">
                  <c:v>520</c:v>
                </c:pt>
                <c:pt idx="25">
                  <c:v>530</c:v>
                </c:pt>
                <c:pt idx="26">
                  <c:v>540</c:v>
                </c:pt>
                <c:pt idx="27">
                  <c:v>550</c:v>
                </c:pt>
                <c:pt idx="28">
                  <c:v>560</c:v>
                </c:pt>
                <c:pt idx="29">
                  <c:v>570</c:v>
                </c:pt>
                <c:pt idx="30">
                  <c:v>580</c:v>
                </c:pt>
                <c:pt idx="31">
                  <c:v>590</c:v>
                </c:pt>
                <c:pt idx="32">
                  <c:v>600</c:v>
                </c:pt>
                <c:pt idx="33">
                  <c:v>610</c:v>
                </c:pt>
                <c:pt idx="34">
                  <c:v>620</c:v>
                </c:pt>
                <c:pt idx="35">
                  <c:v>630</c:v>
                </c:pt>
                <c:pt idx="36">
                  <c:v>640</c:v>
                </c:pt>
                <c:pt idx="37">
                  <c:v>650</c:v>
                </c:pt>
                <c:pt idx="38">
                  <c:v>660</c:v>
                </c:pt>
                <c:pt idx="39">
                  <c:v>670</c:v>
                </c:pt>
                <c:pt idx="40">
                  <c:v>680</c:v>
                </c:pt>
                <c:pt idx="41">
                  <c:v>690</c:v>
                </c:pt>
                <c:pt idx="42">
                  <c:v>700</c:v>
                </c:pt>
                <c:pt idx="43">
                  <c:v>710</c:v>
                </c:pt>
                <c:pt idx="44">
                  <c:v>720</c:v>
                </c:pt>
                <c:pt idx="45">
                  <c:v>730</c:v>
                </c:pt>
                <c:pt idx="46">
                  <c:v>740</c:v>
                </c:pt>
                <c:pt idx="47">
                  <c:v>750</c:v>
                </c:pt>
                <c:pt idx="48">
                  <c:v>760</c:v>
                </c:pt>
                <c:pt idx="49">
                  <c:v>770</c:v>
                </c:pt>
                <c:pt idx="50">
                  <c:v>780</c:v>
                </c:pt>
                <c:pt idx="51">
                  <c:v>790</c:v>
                </c:pt>
                <c:pt idx="52">
                  <c:v>800</c:v>
                </c:pt>
                <c:pt idx="53">
                  <c:v>810</c:v>
                </c:pt>
                <c:pt idx="54">
                  <c:v>820</c:v>
                </c:pt>
                <c:pt idx="55">
                  <c:v>830</c:v>
                </c:pt>
                <c:pt idx="56">
                  <c:v>840</c:v>
                </c:pt>
                <c:pt idx="57">
                  <c:v>850</c:v>
                </c:pt>
                <c:pt idx="58">
                  <c:v>860</c:v>
                </c:pt>
                <c:pt idx="59">
                  <c:v>870</c:v>
                </c:pt>
                <c:pt idx="60">
                  <c:v>880</c:v>
                </c:pt>
                <c:pt idx="61">
                  <c:v>890</c:v>
                </c:pt>
                <c:pt idx="62">
                  <c:v>900</c:v>
                </c:pt>
                <c:pt idx="63">
                  <c:v>910</c:v>
                </c:pt>
                <c:pt idx="64">
                  <c:v>920</c:v>
                </c:pt>
                <c:pt idx="65">
                  <c:v>930</c:v>
                </c:pt>
                <c:pt idx="66">
                  <c:v>940</c:v>
                </c:pt>
                <c:pt idx="67">
                  <c:v>950</c:v>
                </c:pt>
                <c:pt idx="68">
                  <c:v>960</c:v>
                </c:pt>
                <c:pt idx="69">
                  <c:v>970</c:v>
                </c:pt>
                <c:pt idx="70">
                  <c:v>980</c:v>
                </c:pt>
                <c:pt idx="71">
                  <c:v>990</c:v>
                </c:pt>
                <c:pt idx="72">
                  <c:v>1000</c:v>
                </c:pt>
                <c:pt idx="73">
                  <c:v>1010</c:v>
                </c:pt>
                <c:pt idx="74">
                  <c:v>1020</c:v>
                </c:pt>
                <c:pt idx="75">
                  <c:v>1030</c:v>
                </c:pt>
                <c:pt idx="76">
                  <c:v>1040</c:v>
                </c:pt>
                <c:pt idx="77">
                  <c:v>1050</c:v>
                </c:pt>
                <c:pt idx="78">
                  <c:v>1060</c:v>
                </c:pt>
                <c:pt idx="79">
                  <c:v>1070</c:v>
                </c:pt>
                <c:pt idx="80">
                  <c:v>1080</c:v>
                </c:pt>
                <c:pt idx="81">
                  <c:v>1090</c:v>
                </c:pt>
                <c:pt idx="82">
                  <c:v>1100</c:v>
                </c:pt>
                <c:pt idx="83">
                  <c:v>1110</c:v>
                </c:pt>
                <c:pt idx="84">
                  <c:v>1120</c:v>
                </c:pt>
                <c:pt idx="85">
                  <c:v>1130</c:v>
                </c:pt>
                <c:pt idx="86">
                  <c:v>1140</c:v>
                </c:pt>
                <c:pt idx="87">
                  <c:v>1150</c:v>
                </c:pt>
                <c:pt idx="88">
                  <c:v>1160</c:v>
                </c:pt>
                <c:pt idx="89">
                  <c:v>1170</c:v>
                </c:pt>
                <c:pt idx="90">
                  <c:v>1180</c:v>
                </c:pt>
                <c:pt idx="91">
                  <c:v>1190</c:v>
                </c:pt>
                <c:pt idx="92">
                  <c:v>1200</c:v>
                </c:pt>
                <c:pt idx="93">
                  <c:v>1210</c:v>
                </c:pt>
                <c:pt idx="94">
                  <c:v>1220</c:v>
                </c:pt>
                <c:pt idx="95">
                  <c:v>1230</c:v>
                </c:pt>
                <c:pt idx="96">
                  <c:v>1240</c:v>
                </c:pt>
                <c:pt idx="97">
                  <c:v>1250</c:v>
                </c:pt>
                <c:pt idx="98">
                  <c:v>1260</c:v>
                </c:pt>
                <c:pt idx="99">
                  <c:v>1270</c:v>
                </c:pt>
                <c:pt idx="100">
                  <c:v>1280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EB-48A5-859C-D6DBCB9D5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372080"/>
        <c:axId val="1775372624"/>
      </c:scatterChart>
      <c:valAx>
        <c:axId val="1775372080"/>
        <c:scaling>
          <c:orientation val="minMax"/>
          <c:max val="1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in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5372624"/>
        <c:crosses val="autoZero"/>
        <c:crossBetween val="midCat"/>
        <c:majorUnit val="1"/>
        <c:minorUnit val="0.5"/>
      </c:valAx>
      <c:valAx>
        <c:axId val="1775372624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in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537208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189958844632621"/>
          <c:y val="0.68242798220075473"/>
          <c:w val="0.36137639808558664"/>
          <c:h val="3.826356966209997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990645760656713E-2"/>
          <c:y val="7.9176930278836294E-2"/>
          <c:w val="0.83879969177267177"/>
          <c:h val="0.81751674139087105"/>
        </c:manualLayout>
      </c:layout>
      <c:scatterChart>
        <c:scatterStyle val="smoothMarker"/>
        <c:varyColors val="0"/>
        <c:ser>
          <c:idx val="0"/>
          <c:order val="0"/>
          <c:tx>
            <c:v>Line_0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RAMS!$T$10:$T$110</c:f>
              <c:numCache>
                <c:formatCode>0.00</c:formatCode>
                <c:ptCount val="101"/>
              </c:numCache>
            </c:numRef>
          </c:xVal>
          <c:yVal>
            <c:numRef>
              <c:f>RAMS!$S$10:$S$110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  <c:pt idx="8">
                  <c:v>80</c:v>
                </c:pt>
                <c:pt idx="9">
                  <c:v>110</c:v>
                </c:pt>
                <c:pt idx="10">
                  <c:v>140</c:v>
                </c:pt>
                <c:pt idx="11">
                  <c:v>170</c:v>
                </c:pt>
                <c:pt idx="12">
                  <c:v>200</c:v>
                </c:pt>
                <c:pt idx="13">
                  <c:v>230</c:v>
                </c:pt>
                <c:pt idx="14">
                  <c:v>260</c:v>
                </c:pt>
                <c:pt idx="15">
                  <c:v>290</c:v>
                </c:pt>
                <c:pt idx="16">
                  <c:v>320</c:v>
                </c:pt>
                <c:pt idx="17">
                  <c:v>350</c:v>
                </c:pt>
                <c:pt idx="18">
                  <c:v>380</c:v>
                </c:pt>
                <c:pt idx="19">
                  <c:v>410</c:v>
                </c:pt>
                <c:pt idx="20">
                  <c:v>440</c:v>
                </c:pt>
                <c:pt idx="21">
                  <c:v>470</c:v>
                </c:pt>
                <c:pt idx="22">
                  <c:v>500</c:v>
                </c:pt>
                <c:pt idx="23">
                  <c:v>510</c:v>
                </c:pt>
                <c:pt idx="24">
                  <c:v>520</c:v>
                </c:pt>
                <c:pt idx="25">
                  <c:v>530</c:v>
                </c:pt>
                <c:pt idx="26">
                  <c:v>540</c:v>
                </c:pt>
                <c:pt idx="27">
                  <c:v>550</c:v>
                </c:pt>
                <c:pt idx="28">
                  <c:v>560</c:v>
                </c:pt>
                <c:pt idx="29">
                  <c:v>570</c:v>
                </c:pt>
                <c:pt idx="30">
                  <c:v>580</c:v>
                </c:pt>
                <c:pt idx="31">
                  <c:v>590</c:v>
                </c:pt>
                <c:pt idx="32">
                  <c:v>600</c:v>
                </c:pt>
                <c:pt idx="33">
                  <c:v>610</c:v>
                </c:pt>
                <c:pt idx="34">
                  <c:v>620</c:v>
                </c:pt>
                <c:pt idx="35">
                  <c:v>630</c:v>
                </c:pt>
                <c:pt idx="36">
                  <c:v>640</c:v>
                </c:pt>
                <c:pt idx="37">
                  <c:v>650</c:v>
                </c:pt>
                <c:pt idx="38">
                  <c:v>660</c:v>
                </c:pt>
                <c:pt idx="39">
                  <c:v>670</c:v>
                </c:pt>
                <c:pt idx="40">
                  <c:v>680</c:v>
                </c:pt>
                <c:pt idx="41">
                  <c:v>690</c:v>
                </c:pt>
                <c:pt idx="42">
                  <c:v>700</c:v>
                </c:pt>
                <c:pt idx="43">
                  <c:v>710</c:v>
                </c:pt>
                <c:pt idx="44">
                  <c:v>720</c:v>
                </c:pt>
                <c:pt idx="45">
                  <c:v>730</c:v>
                </c:pt>
                <c:pt idx="46">
                  <c:v>740</c:v>
                </c:pt>
                <c:pt idx="47">
                  <c:v>750</c:v>
                </c:pt>
                <c:pt idx="48">
                  <c:v>760</c:v>
                </c:pt>
                <c:pt idx="49">
                  <c:v>770</c:v>
                </c:pt>
                <c:pt idx="50">
                  <c:v>780</c:v>
                </c:pt>
                <c:pt idx="51">
                  <c:v>790</c:v>
                </c:pt>
                <c:pt idx="52">
                  <c:v>800</c:v>
                </c:pt>
                <c:pt idx="53">
                  <c:v>810</c:v>
                </c:pt>
                <c:pt idx="54">
                  <c:v>820</c:v>
                </c:pt>
                <c:pt idx="55">
                  <c:v>830</c:v>
                </c:pt>
                <c:pt idx="56">
                  <c:v>840</c:v>
                </c:pt>
                <c:pt idx="57">
                  <c:v>850</c:v>
                </c:pt>
                <c:pt idx="58">
                  <c:v>860</c:v>
                </c:pt>
                <c:pt idx="59">
                  <c:v>870</c:v>
                </c:pt>
                <c:pt idx="60">
                  <c:v>880</c:v>
                </c:pt>
                <c:pt idx="61">
                  <c:v>890</c:v>
                </c:pt>
                <c:pt idx="62">
                  <c:v>900</c:v>
                </c:pt>
                <c:pt idx="63">
                  <c:v>910</c:v>
                </c:pt>
                <c:pt idx="64">
                  <c:v>920</c:v>
                </c:pt>
                <c:pt idx="65">
                  <c:v>930</c:v>
                </c:pt>
                <c:pt idx="66">
                  <c:v>940</c:v>
                </c:pt>
                <c:pt idx="67">
                  <c:v>950</c:v>
                </c:pt>
                <c:pt idx="68">
                  <c:v>960</c:v>
                </c:pt>
                <c:pt idx="69">
                  <c:v>970</c:v>
                </c:pt>
                <c:pt idx="70">
                  <c:v>980</c:v>
                </c:pt>
                <c:pt idx="71">
                  <c:v>990</c:v>
                </c:pt>
                <c:pt idx="72">
                  <c:v>1000</c:v>
                </c:pt>
                <c:pt idx="73">
                  <c:v>1010</c:v>
                </c:pt>
                <c:pt idx="74">
                  <c:v>1020</c:v>
                </c:pt>
                <c:pt idx="75">
                  <c:v>1030</c:v>
                </c:pt>
                <c:pt idx="76">
                  <c:v>1040</c:v>
                </c:pt>
                <c:pt idx="77">
                  <c:v>1050</c:v>
                </c:pt>
                <c:pt idx="78">
                  <c:v>1060</c:v>
                </c:pt>
                <c:pt idx="79">
                  <c:v>1070</c:v>
                </c:pt>
                <c:pt idx="80">
                  <c:v>1080</c:v>
                </c:pt>
                <c:pt idx="81">
                  <c:v>1090</c:v>
                </c:pt>
                <c:pt idx="82">
                  <c:v>1100</c:v>
                </c:pt>
                <c:pt idx="83">
                  <c:v>1110</c:v>
                </c:pt>
                <c:pt idx="84">
                  <c:v>1120</c:v>
                </c:pt>
                <c:pt idx="85">
                  <c:v>1130</c:v>
                </c:pt>
                <c:pt idx="86">
                  <c:v>1140</c:v>
                </c:pt>
                <c:pt idx="87">
                  <c:v>1150</c:v>
                </c:pt>
                <c:pt idx="88">
                  <c:v>1160</c:v>
                </c:pt>
                <c:pt idx="89">
                  <c:v>1170</c:v>
                </c:pt>
                <c:pt idx="90">
                  <c:v>1180</c:v>
                </c:pt>
                <c:pt idx="91">
                  <c:v>1190</c:v>
                </c:pt>
                <c:pt idx="92">
                  <c:v>1200</c:v>
                </c:pt>
                <c:pt idx="93">
                  <c:v>1210</c:v>
                </c:pt>
                <c:pt idx="94">
                  <c:v>1220</c:v>
                </c:pt>
                <c:pt idx="95">
                  <c:v>1230</c:v>
                </c:pt>
                <c:pt idx="96">
                  <c:v>1240</c:v>
                </c:pt>
                <c:pt idx="97">
                  <c:v>1250</c:v>
                </c:pt>
                <c:pt idx="98">
                  <c:v>1260</c:v>
                </c:pt>
                <c:pt idx="99">
                  <c:v>1270</c:v>
                </c:pt>
                <c:pt idx="100">
                  <c:v>1280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EB-48A5-859C-D6DBCB9D5DF2}"/>
            </c:ext>
          </c:extLst>
        </c:ser>
        <c:ser>
          <c:idx val="1"/>
          <c:order val="1"/>
          <c:tx>
            <c:v>Line_1</c:v>
          </c:tx>
          <c:spPr>
            <a:ln w="19050" cap="rnd">
              <a:noFill/>
              <a:prstDash val="lgDash"/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RAMS!$W$10:$W$110</c:f>
              <c:numCache>
                <c:formatCode>0.00</c:formatCode>
                <c:ptCount val="101"/>
              </c:numCache>
            </c:numRef>
          </c:xVal>
          <c:yVal>
            <c:numRef>
              <c:f>RAMS!$V$10:$V$110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  <c:pt idx="8">
                  <c:v>80</c:v>
                </c:pt>
                <c:pt idx="9">
                  <c:v>110</c:v>
                </c:pt>
                <c:pt idx="10">
                  <c:v>140</c:v>
                </c:pt>
                <c:pt idx="11">
                  <c:v>170</c:v>
                </c:pt>
                <c:pt idx="12">
                  <c:v>200</c:v>
                </c:pt>
                <c:pt idx="13">
                  <c:v>230</c:v>
                </c:pt>
                <c:pt idx="14">
                  <c:v>260</c:v>
                </c:pt>
                <c:pt idx="15">
                  <c:v>290</c:v>
                </c:pt>
                <c:pt idx="16">
                  <c:v>320</c:v>
                </c:pt>
                <c:pt idx="17">
                  <c:v>350</c:v>
                </c:pt>
                <c:pt idx="18">
                  <c:v>380</c:v>
                </c:pt>
                <c:pt idx="19">
                  <c:v>410</c:v>
                </c:pt>
                <c:pt idx="20">
                  <c:v>440</c:v>
                </c:pt>
                <c:pt idx="21">
                  <c:v>470</c:v>
                </c:pt>
                <c:pt idx="22">
                  <c:v>500</c:v>
                </c:pt>
                <c:pt idx="23">
                  <c:v>510</c:v>
                </c:pt>
                <c:pt idx="24">
                  <c:v>520</c:v>
                </c:pt>
                <c:pt idx="25">
                  <c:v>530</c:v>
                </c:pt>
                <c:pt idx="26">
                  <c:v>540</c:v>
                </c:pt>
                <c:pt idx="27">
                  <c:v>550</c:v>
                </c:pt>
                <c:pt idx="28">
                  <c:v>560</c:v>
                </c:pt>
                <c:pt idx="29">
                  <c:v>570</c:v>
                </c:pt>
                <c:pt idx="30">
                  <c:v>580</c:v>
                </c:pt>
                <c:pt idx="31">
                  <c:v>590</c:v>
                </c:pt>
                <c:pt idx="32">
                  <c:v>600</c:v>
                </c:pt>
                <c:pt idx="33">
                  <c:v>610</c:v>
                </c:pt>
                <c:pt idx="34">
                  <c:v>620</c:v>
                </c:pt>
                <c:pt idx="35">
                  <c:v>630</c:v>
                </c:pt>
                <c:pt idx="36">
                  <c:v>640</c:v>
                </c:pt>
                <c:pt idx="37">
                  <c:v>650</c:v>
                </c:pt>
                <c:pt idx="38">
                  <c:v>660</c:v>
                </c:pt>
                <c:pt idx="39">
                  <c:v>670</c:v>
                </c:pt>
                <c:pt idx="40">
                  <c:v>680</c:v>
                </c:pt>
                <c:pt idx="41">
                  <c:v>690</c:v>
                </c:pt>
                <c:pt idx="42">
                  <c:v>700</c:v>
                </c:pt>
                <c:pt idx="43">
                  <c:v>710</c:v>
                </c:pt>
                <c:pt idx="44">
                  <c:v>720</c:v>
                </c:pt>
                <c:pt idx="45">
                  <c:v>730</c:v>
                </c:pt>
                <c:pt idx="46">
                  <c:v>740</c:v>
                </c:pt>
                <c:pt idx="47">
                  <c:v>750</c:v>
                </c:pt>
                <c:pt idx="48">
                  <c:v>760</c:v>
                </c:pt>
                <c:pt idx="49">
                  <c:v>770</c:v>
                </c:pt>
                <c:pt idx="50">
                  <c:v>780</c:v>
                </c:pt>
                <c:pt idx="51">
                  <c:v>790</c:v>
                </c:pt>
                <c:pt idx="52">
                  <c:v>800</c:v>
                </c:pt>
                <c:pt idx="53">
                  <c:v>810</c:v>
                </c:pt>
                <c:pt idx="54">
                  <c:v>820</c:v>
                </c:pt>
                <c:pt idx="55">
                  <c:v>830</c:v>
                </c:pt>
                <c:pt idx="56">
                  <c:v>840</c:v>
                </c:pt>
                <c:pt idx="57">
                  <c:v>850</c:v>
                </c:pt>
                <c:pt idx="58">
                  <c:v>860</c:v>
                </c:pt>
                <c:pt idx="59">
                  <c:v>870</c:v>
                </c:pt>
                <c:pt idx="60">
                  <c:v>880</c:v>
                </c:pt>
                <c:pt idx="61">
                  <c:v>890</c:v>
                </c:pt>
                <c:pt idx="62">
                  <c:v>900</c:v>
                </c:pt>
                <c:pt idx="63">
                  <c:v>910</c:v>
                </c:pt>
                <c:pt idx="64">
                  <c:v>920</c:v>
                </c:pt>
                <c:pt idx="65">
                  <c:v>930</c:v>
                </c:pt>
                <c:pt idx="66">
                  <c:v>940</c:v>
                </c:pt>
                <c:pt idx="67">
                  <c:v>950</c:v>
                </c:pt>
                <c:pt idx="68">
                  <c:v>960</c:v>
                </c:pt>
                <c:pt idx="69">
                  <c:v>970</c:v>
                </c:pt>
                <c:pt idx="70">
                  <c:v>980</c:v>
                </c:pt>
                <c:pt idx="71">
                  <c:v>990</c:v>
                </c:pt>
                <c:pt idx="72">
                  <c:v>1000</c:v>
                </c:pt>
                <c:pt idx="73">
                  <c:v>1010</c:v>
                </c:pt>
                <c:pt idx="74">
                  <c:v>1020</c:v>
                </c:pt>
                <c:pt idx="75">
                  <c:v>1030</c:v>
                </c:pt>
                <c:pt idx="76">
                  <c:v>1040</c:v>
                </c:pt>
                <c:pt idx="77">
                  <c:v>1050</c:v>
                </c:pt>
                <c:pt idx="78">
                  <c:v>1060</c:v>
                </c:pt>
                <c:pt idx="79">
                  <c:v>1070</c:v>
                </c:pt>
                <c:pt idx="80">
                  <c:v>1080</c:v>
                </c:pt>
                <c:pt idx="81">
                  <c:v>1090</c:v>
                </c:pt>
                <c:pt idx="82">
                  <c:v>1100</c:v>
                </c:pt>
                <c:pt idx="83">
                  <c:v>1110</c:v>
                </c:pt>
                <c:pt idx="84">
                  <c:v>1120</c:v>
                </c:pt>
                <c:pt idx="85">
                  <c:v>1130</c:v>
                </c:pt>
                <c:pt idx="86">
                  <c:v>1140</c:v>
                </c:pt>
                <c:pt idx="87">
                  <c:v>1150</c:v>
                </c:pt>
                <c:pt idx="88">
                  <c:v>1160</c:v>
                </c:pt>
                <c:pt idx="89">
                  <c:v>1170</c:v>
                </c:pt>
                <c:pt idx="90">
                  <c:v>1180</c:v>
                </c:pt>
                <c:pt idx="91">
                  <c:v>1190</c:v>
                </c:pt>
                <c:pt idx="92">
                  <c:v>1200</c:v>
                </c:pt>
                <c:pt idx="93">
                  <c:v>1210</c:v>
                </c:pt>
                <c:pt idx="94">
                  <c:v>1220</c:v>
                </c:pt>
                <c:pt idx="95">
                  <c:v>1230</c:v>
                </c:pt>
                <c:pt idx="96">
                  <c:v>1240</c:v>
                </c:pt>
                <c:pt idx="97">
                  <c:v>1250</c:v>
                </c:pt>
                <c:pt idx="98">
                  <c:v>1260</c:v>
                </c:pt>
                <c:pt idx="99">
                  <c:v>1270</c:v>
                </c:pt>
                <c:pt idx="100">
                  <c:v>1280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EB-48A5-859C-D6DBCB9D5DF2}"/>
            </c:ext>
          </c:extLst>
        </c:ser>
        <c:ser>
          <c:idx val="2"/>
          <c:order val="2"/>
          <c:tx>
            <c:v>Line_2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RAMS!$Z$10:$Z$110</c:f>
              <c:numCache>
                <c:formatCode>0.00</c:formatCode>
                <c:ptCount val="101"/>
              </c:numCache>
            </c:numRef>
          </c:xVal>
          <c:yVal>
            <c:numRef>
              <c:f>RAMS!$Y$10:$Y$110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  <c:pt idx="8">
                  <c:v>80</c:v>
                </c:pt>
                <c:pt idx="9">
                  <c:v>110</c:v>
                </c:pt>
                <c:pt idx="10">
                  <c:v>140</c:v>
                </c:pt>
                <c:pt idx="11">
                  <c:v>170</c:v>
                </c:pt>
                <c:pt idx="12">
                  <c:v>200</c:v>
                </c:pt>
                <c:pt idx="13">
                  <c:v>230</c:v>
                </c:pt>
                <c:pt idx="14">
                  <c:v>260</c:v>
                </c:pt>
                <c:pt idx="15">
                  <c:v>290</c:v>
                </c:pt>
                <c:pt idx="16">
                  <c:v>320</c:v>
                </c:pt>
                <c:pt idx="17">
                  <c:v>350</c:v>
                </c:pt>
                <c:pt idx="18">
                  <c:v>380</c:v>
                </c:pt>
                <c:pt idx="19">
                  <c:v>410</c:v>
                </c:pt>
                <c:pt idx="20">
                  <c:v>440</c:v>
                </c:pt>
                <c:pt idx="21">
                  <c:v>470</c:v>
                </c:pt>
                <c:pt idx="22">
                  <c:v>500</c:v>
                </c:pt>
                <c:pt idx="23">
                  <c:v>510</c:v>
                </c:pt>
                <c:pt idx="24">
                  <c:v>520</c:v>
                </c:pt>
                <c:pt idx="25">
                  <c:v>530</c:v>
                </c:pt>
                <c:pt idx="26">
                  <c:v>540</c:v>
                </c:pt>
                <c:pt idx="27">
                  <c:v>550</c:v>
                </c:pt>
                <c:pt idx="28">
                  <c:v>560</c:v>
                </c:pt>
                <c:pt idx="29">
                  <c:v>570</c:v>
                </c:pt>
                <c:pt idx="30">
                  <c:v>580</c:v>
                </c:pt>
                <c:pt idx="31">
                  <c:v>590</c:v>
                </c:pt>
                <c:pt idx="32">
                  <c:v>600</c:v>
                </c:pt>
                <c:pt idx="33">
                  <c:v>610</c:v>
                </c:pt>
                <c:pt idx="34">
                  <c:v>620</c:v>
                </c:pt>
                <c:pt idx="35">
                  <c:v>630</c:v>
                </c:pt>
                <c:pt idx="36">
                  <c:v>640</c:v>
                </c:pt>
                <c:pt idx="37">
                  <c:v>650</c:v>
                </c:pt>
                <c:pt idx="38">
                  <c:v>660</c:v>
                </c:pt>
                <c:pt idx="39">
                  <c:v>670</c:v>
                </c:pt>
                <c:pt idx="40">
                  <c:v>680</c:v>
                </c:pt>
                <c:pt idx="41">
                  <c:v>690</c:v>
                </c:pt>
                <c:pt idx="42">
                  <c:v>700</c:v>
                </c:pt>
                <c:pt idx="43">
                  <c:v>710</c:v>
                </c:pt>
                <c:pt idx="44">
                  <c:v>720</c:v>
                </c:pt>
                <c:pt idx="45">
                  <c:v>730</c:v>
                </c:pt>
                <c:pt idx="46">
                  <c:v>740</c:v>
                </c:pt>
                <c:pt idx="47">
                  <c:v>750</c:v>
                </c:pt>
                <c:pt idx="48">
                  <c:v>760</c:v>
                </c:pt>
                <c:pt idx="49">
                  <c:v>770</c:v>
                </c:pt>
                <c:pt idx="50">
                  <c:v>780</c:v>
                </c:pt>
                <c:pt idx="51">
                  <c:v>790</c:v>
                </c:pt>
                <c:pt idx="52">
                  <c:v>800</c:v>
                </c:pt>
                <c:pt idx="53">
                  <c:v>810</c:v>
                </c:pt>
                <c:pt idx="54">
                  <c:v>820</c:v>
                </c:pt>
                <c:pt idx="55">
                  <c:v>830</c:v>
                </c:pt>
                <c:pt idx="56">
                  <c:v>840</c:v>
                </c:pt>
                <c:pt idx="57">
                  <c:v>850</c:v>
                </c:pt>
                <c:pt idx="58">
                  <c:v>860</c:v>
                </c:pt>
                <c:pt idx="59">
                  <c:v>870</c:v>
                </c:pt>
                <c:pt idx="60">
                  <c:v>880</c:v>
                </c:pt>
                <c:pt idx="61">
                  <c:v>890</c:v>
                </c:pt>
                <c:pt idx="62">
                  <c:v>900</c:v>
                </c:pt>
                <c:pt idx="63">
                  <c:v>910</c:v>
                </c:pt>
                <c:pt idx="64">
                  <c:v>920</c:v>
                </c:pt>
                <c:pt idx="65">
                  <c:v>930</c:v>
                </c:pt>
                <c:pt idx="66">
                  <c:v>940</c:v>
                </c:pt>
                <c:pt idx="67">
                  <c:v>950</c:v>
                </c:pt>
                <c:pt idx="68">
                  <c:v>960</c:v>
                </c:pt>
                <c:pt idx="69">
                  <c:v>970</c:v>
                </c:pt>
                <c:pt idx="70">
                  <c:v>980</c:v>
                </c:pt>
                <c:pt idx="71">
                  <c:v>990</c:v>
                </c:pt>
                <c:pt idx="72">
                  <c:v>1000</c:v>
                </c:pt>
                <c:pt idx="73">
                  <c:v>1010</c:v>
                </c:pt>
                <c:pt idx="74">
                  <c:v>1020</c:v>
                </c:pt>
                <c:pt idx="75">
                  <c:v>1030</c:v>
                </c:pt>
                <c:pt idx="76">
                  <c:v>1040</c:v>
                </c:pt>
                <c:pt idx="77">
                  <c:v>1050</c:v>
                </c:pt>
                <c:pt idx="78">
                  <c:v>1060</c:v>
                </c:pt>
                <c:pt idx="79">
                  <c:v>1070</c:v>
                </c:pt>
                <c:pt idx="80">
                  <c:v>1080</c:v>
                </c:pt>
                <c:pt idx="81">
                  <c:v>1090</c:v>
                </c:pt>
                <c:pt idx="82">
                  <c:v>1100</c:v>
                </c:pt>
                <c:pt idx="83">
                  <c:v>1110</c:v>
                </c:pt>
                <c:pt idx="84">
                  <c:v>1120</c:v>
                </c:pt>
                <c:pt idx="85">
                  <c:v>1130</c:v>
                </c:pt>
                <c:pt idx="86">
                  <c:v>1140</c:v>
                </c:pt>
                <c:pt idx="87">
                  <c:v>1150</c:v>
                </c:pt>
                <c:pt idx="88">
                  <c:v>1160</c:v>
                </c:pt>
                <c:pt idx="89">
                  <c:v>1170</c:v>
                </c:pt>
                <c:pt idx="90">
                  <c:v>1180</c:v>
                </c:pt>
                <c:pt idx="91">
                  <c:v>1190</c:v>
                </c:pt>
                <c:pt idx="92">
                  <c:v>1200</c:v>
                </c:pt>
                <c:pt idx="93">
                  <c:v>1210</c:v>
                </c:pt>
                <c:pt idx="94">
                  <c:v>1220</c:v>
                </c:pt>
                <c:pt idx="95">
                  <c:v>1230</c:v>
                </c:pt>
                <c:pt idx="96">
                  <c:v>1240</c:v>
                </c:pt>
                <c:pt idx="97">
                  <c:v>1250</c:v>
                </c:pt>
                <c:pt idx="98">
                  <c:v>1260</c:v>
                </c:pt>
                <c:pt idx="99">
                  <c:v>1270</c:v>
                </c:pt>
                <c:pt idx="100">
                  <c:v>1280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EB-48A5-859C-D6DBCB9D5DF2}"/>
            </c:ext>
          </c:extLst>
        </c:ser>
        <c:ser>
          <c:idx val="3"/>
          <c:order val="3"/>
          <c:tx>
            <c:v>Line_3</c:v>
          </c:tx>
          <c:spPr>
            <a:ln w="19050" cap="rnd">
              <a:noFill/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xVal>
            <c:numRef>
              <c:f>RAMS!$AC$10:$AC$110</c:f>
              <c:numCache>
                <c:formatCode>0.00</c:formatCode>
                <c:ptCount val="101"/>
                <c:pt idx="0">
                  <c:v>0</c:v>
                </c:pt>
                <c:pt idx="1">
                  <c:v>2.477514405350985</c:v>
                </c:pt>
                <c:pt idx="2">
                  <c:v>2.7489743507857729</c:v>
                </c:pt>
                <c:pt idx="3">
                  <c:v>2.9213552782112844</c:v>
                </c:pt>
                <c:pt idx="4">
                  <c:v>3.050178019129417</c:v>
                </c:pt>
                <c:pt idx="5">
                  <c:v>3.1539999999999999</c:v>
                </c:pt>
                <c:pt idx="6">
                  <c:v>3.2291851851851852</c:v>
                </c:pt>
                <c:pt idx="7">
                  <c:v>3.4064000000000001</c:v>
                </c:pt>
                <c:pt idx="8">
                  <c:v>3.5561724137931034</c:v>
                </c:pt>
                <c:pt idx="9">
                  <c:v>3.7527241379310348</c:v>
                </c:pt>
                <c:pt idx="10">
                  <c:v>3.9492758620689656</c:v>
                </c:pt>
                <c:pt idx="11">
                  <c:v>4.0880000000000001</c:v>
                </c:pt>
                <c:pt idx="12">
                  <c:v>4.1761249999999999</c:v>
                </c:pt>
                <c:pt idx="13">
                  <c:v>4.2488620689655177</c:v>
                </c:pt>
                <c:pt idx="14">
                  <c:v>4.2985172413793107</c:v>
                </c:pt>
                <c:pt idx="15">
                  <c:v>4.3481724137931037</c:v>
                </c:pt>
                <c:pt idx="16">
                  <c:v>4.3666301369863012</c:v>
                </c:pt>
                <c:pt idx="17">
                  <c:v>4.3538904109589041</c:v>
                </c:pt>
                <c:pt idx="18">
                  <c:v>4.3355833333333331</c:v>
                </c:pt>
                <c:pt idx="19">
                  <c:v>4.2393333333333327</c:v>
                </c:pt>
                <c:pt idx="20">
                  <c:v>4.1430833333333332</c:v>
                </c:pt>
                <c:pt idx="21">
                  <c:v>4.1074000000000002</c:v>
                </c:pt>
                <c:pt idx="22">
                  <c:v>4.1020000000000003</c:v>
                </c:pt>
                <c:pt idx="23">
                  <c:v>4.1020000000000003</c:v>
                </c:pt>
                <c:pt idx="24">
                  <c:v>4.1020000000000003</c:v>
                </c:pt>
                <c:pt idx="25">
                  <c:v>4.1020000000000003</c:v>
                </c:pt>
                <c:pt idx="26">
                  <c:v>4.1020000000000003</c:v>
                </c:pt>
                <c:pt idx="27">
                  <c:v>4.1020000000000003</c:v>
                </c:pt>
                <c:pt idx="28">
                  <c:v>4.1020000000000003</c:v>
                </c:pt>
                <c:pt idx="29">
                  <c:v>4.1020000000000003</c:v>
                </c:pt>
                <c:pt idx="30">
                  <c:v>4.1020000000000003</c:v>
                </c:pt>
                <c:pt idx="31">
                  <c:v>4.1020000000000003</c:v>
                </c:pt>
                <c:pt idx="32">
                  <c:v>4.1020000000000003</c:v>
                </c:pt>
                <c:pt idx="33">
                  <c:v>4.1020000000000003</c:v>
                </c:pt>
                <c:pt idx="34">
                  <c:v>4.1020000000000003</c:v>
                </c:pt>
                <c:pt idx="35">
                  <c:v>4.1020000000000003</c:v>
                </c:pt>
                <c:pt idx="36">
                  <c:v>4.1020000000000003</c:v>
                </c:pt>
                <c:pt idx="37">
                  <c:v>4.1020000000000003</c:v>
                </c:pt>
                <c:pt idx="38">
                  <c:v>4.1020000000000003</c:v>
                </c:pt>
                <c:pt idx="39">
                  <c:v>4.1020000000000003</c:v>
                </c:pt>
                <c:pt idx="40">
                  <c:v>4.1020000000000003</c:v>
                </c:pt>
                <c:pt idx="41">
                  <c:v>4.1020000000000003</c:v>
                </c:pt>
                <c:pt idx="42">
                  <c:v>4.1020000000000003</c:v>
                </c:pt>
                <c:pt idx="43">
                  <c:v>4.1020000000000003</c:v>
                </c:pt>
                <c:pt idx="44">
                  <c:v>4.1020000000000003</c:v>
                </c:pt>
                <c:pt idx="45">
                  <c:v>4.1020000000000003</c:v>
                </c:pt>
                <c:pt idx="46">
                  <c:v>4.1020000000000003</c:v>
                </c:pt>
                <c:pt idx="47">
                  <c:v>4.1020000000000003</c:v>
                </c:pt>
                <c:pt idx="48">
                  <c:v>4.1020000000000003</c:v>
                </c:pt>
                <c:pt idx="49">
                  <c:v>4.1020000000000003</c:v>
                </c:pt>
                <c:pt idx="50">
                  <c:v>4.1020000000000003</c:v>
                </c:pt>
                <c:pt idx="51">
                  <c:v>4.1020000000000003</c:v>
                </c:pt>
                <c:pt idx="52">
                  <c:v>4.1020000000000003</c:v>
                </c:pt>
                <c:pt idx="53">
                  <c:v>4.1020000000000003</c:v>
                </c:pt>
                <c:pt idx="54">
                  <c:v>4.1020000000000003</c:v>
                </c:pt>
                <c:pt idx="55">
                  <c:v>4.1020000000000003</c:v>
                </c:pt>
                <c:pt idx="56">
                  <c:v>4.1020000000000003</c:v>
                </c:pt>
                <c:pt idx="57">
                  <c:v>4.1020000000000003</c:v>
                </c:pt>
                <c:pt idx="58">
                  <c:v>4.1020000000000003</c:v>
                </c:pt>
                <c:pt idx="59">
                  <c:v>4.1020000000000003</c:v>
                </c:pt>
                <c:pt idx="60">
                  <c:v>4.1020000000000003</c:v>
                </c:pt>
                <c:pt idx="61">
                  <c:v>4.1020000000000003</c:v>
                </c:pt>
                <c:pt idx="62">
                  <c:v>4.1020000000000003</c:v>
                </c:pt>
                <c:pt idx="63">
                  <c:v>4.1020000000000003</c:v>
                </c:pt>
                <c:pt idx="64">
                  <c:v>4.1020000000000003</c:v>
                </c:pt>
                <c:pt idx="65">
                  <c:v>4.1020000000000003</c:v>
                </c:pt>
                <c:pt idx="66">
                  <c:v>4.1020000000000003</c:v>
                </c:pt>
                <c:pt idx="67">
                  <c:v>4.1020000000000003</c:v>
                </c:pt>
                <c:pt idx="68">
                  <c:v>4.1020000000000003</c:v>
                </c:pt>
                <c:pt idx="69">
                  <c:v>4.1020000000000003</c:v>
                </c:pt>
                <c:pt idx="70">
                  <c:v>4.1020000000000003</c:v>
                </c:pt>
                <c:pt idx="71">
                  <c:v>4.1020000000000003</c:v>
                </c:pt>
                <c:pt idx="72">
                  <c:v>4.1020000000000003</c:v>
                </c:pt>
                <c:pt idx="73">
                  <c:v>4.1020000000000003</c:v>
                </c:pt>
                <c:pt idx="74">
                  <c:v>4.1020000000000003</c:v>
                </c:pt>
                <c:pt idx="75">
                  <c:v>4.1020000000000003</c:v>
                </c:pt>
                <c:pt idx="76">
                  <c:v>4.1020000000000003</c:v>
                </c:pt>
                <c:pt idx="77">
                  <c:v>4.1020000000000003</c:v>
                </c:pt>
                <c:pt idx="78">
                  <c:v>4.1020000000000003</c:v>
                </c:pt>
                <c:pt idx="79">
                  <c:v>4.1020000000000003</c:v>
                </c:pt>
                <c:pt idx="80">
                  <c:v>4.1020000000000003</c:v>
                </c:pt>
                <c:pt idx="81">
                  <c:v>4.1020000000000003</c:v>
                </c:pt>
                <c:pt idx="82">
                  <c:v>4.1020000000000003</c:v>
                </c:pt>
                <c:pt idx="83">
                  <c:v>4.1020000000000003</c:v>
                </c:pt>
                <c:pt idx="84">
                  <c:v>4.1020000000000003</c:v>
                </c:pt>
                <c:pt idx="85">
                  <c:v>4.1020000000000003</c:v>
                </c:pt>
                <c:pt idx="86">
                  <c:v>4.1020000000000003</c:v>
                </c:pt>
                <c:pt idx="87">
                  <c:v>4.1020000000000003</c:v>
                </c:pt>
                <c:pt idx="88">
                  <c:v>4.1020000000000003</c:v>
                </c:pt>
                <c:pt idx="89">
                  <c:v>4.1020000000000003</c:v>
                </c:pt>
                <c:pt idx="90">
                  <c:v>4.1020000000000003</c:v>
                </c:pt>
                <c:pt idx="91">
                  <c:v>4.1020000000000003</c:v>
                </c:pt>
                <c:pt idx="92">
                  <c:v>4.1020000000000003</c:v>
                </c:pt>
                <c:pt idx="93">
                  <c:v>4.1020000000000003</c:v>
                </c:pt>
                <c:pt idx="94">
                  <c:v>4.1020000000000003</c:v>
                </c:pt>
                <c:pt idx="95">
                  <c:v>4.1020000000000003</c:v>
                </c:pt>
                <c:pt idx="96">
                  <c:v>4.1020000000000003</c:v>
                </c:pt>
                <c:pt idx="97">
                  <c:v>4.1020000000000003</c:v>
                </c:pt>
                <c:pt idx="98">
                  <c:v>4.1020000000000003</c:v>
                </c:pt>
                <c:pt idx="99">
                  <c:v>4.1020000000000003</c:v>
                </c:pt>
                <c:pt idx="100">
                  <c:v>4.1020000000000003</c:v>
                </c:pt>
              </c:numCache>
            </c:numRef>
          </c:xVal>
          <c:yVal>
            <c:numRef>
              <c:f>RAMS!$AB$10:$AB$110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  <c:pt idx="8">
                  <c:v>80</c:v>
                </c:pt>
                <c:pt idx="9">
                  <c:v>110</c:v>
                </c:pt>
                <c:pt idx="10">
                  <c:v>140</c:v>
                </c:pt>
                <c:pt idx="11">
                  <c:v>170</c:v>
                </c:pt>
                <c:pt idx="12">
                  <c:v>200</c:v>
                </c:pt>
                <c:pt idx="13">
                  <c:v>230</c:v>
                </c:pt>
                <c:pt idx="14">
                  <c:v>260</c:v>
                </c:pt>
                <c:pt idx="15">
                  <c:v>290</c:v>
                </c:pt>
                <c:pt idx="16">
                  <c:v>320</c:v>
                </c:pt>
                <c:pt idx="17">
                  <c:v>350</c:v>
                </c:pt>
                <c:pt idx="18">
                  <c:v>380</c:v>
                </c:pt>
                <c:pt idx="19">
                  <c:v>410</c:v>
                </c:pt>
                <c:pt idx="20">
                  <c:v>440</c:v>
                </c:pt>
                <c:pt idx="21">
                  <c:v>470</c:v>
                </c:pt>
                <c:pt idx="22">
                  <c:v>500</c:v>
                </c:pt>
                <c:pt idx="23">
                  <c:v>510</c:v>
                </c:pt>
                <c:pt idx="24">
                  <c:v>520</c:v>
                </c:pt>
                <c:pt idx="25">
                  <c:v>530</c:v>
                </c:pt>
                <c:pt idx="26">
                  <c:v>540</c:v>
                </c:pt>
                <c:pt idx="27">
                  <c:v>550</c:v>
                </c:pt>
                <c:pt idx="28">
                  <c:v>560</c:v>
                </c:pt>
                <c:pt idx="29">
                  <c:v>570</c:v>
                </c:pt>
                <c:pt idx="30">
                  <c:v>580</c:v>
                </c:pt>
                <c:pt idx="31">
                  <c:v>590</c:v>
                </c:pt>
                <c:pt idx="32">
                  <c:v>600</c:v>
                </c:pt>
                <c:pt idx="33">
                  <c:v>610</c:v>
                </c:pt>
                <c:pt idx="34">
                  <c:v>620</c:v>
                </c:pt>
                <c:pt idx="35">
                  <c:v>630</c:v>
                </c:pt>
                <c:pt idx="36">
                  <c:v>640</c:v>
                </c:pt>
                <c:pt idx="37">
                  <c:v>650</c:v>
                </c:pt>
                <c:pt idx="38">
                  <c:v>660</c:v>
                </c:pt>
                <c:pt idx="39">
                  <c:v>670</c:v>
                </c:pt>
                <c:pt idx="40">
                  <c:v>680</c:v>
                </c:pt>
                <c:pt idx="41">
                  <c:v>690</c:v>
                </c:pt>
                <c:pt idx="42">
                  <c:v>700</c:v>
                </c:pt>
                <c:pt idx="43">
                  <c:v>710</c:v>
                </c:pt>
                <c:pt idx="44">
                  <c:v>720</c:v>
                </c:pt>
                <c:pt idx="45">
                  <c:v>730</c:v>
                </c:pt>
                <c:pt idx="46">
                  <c:v>740</c:v>
                </c:pt>
                <c:pt idx="47">
                  <c:v>750</c:v>
                </c:pt>
                <c:pt idx="48">
                  <c:v>760</c:v>
                </c:pt>
                <c:pt idx="49">
                  <c:v>770</c:v>
                </c:pt>
                <c:pt idx="50">
                  <c:v>780</c:v>
                </c:pt>
                <c:pt idx="51">
                  <c:v>790</c:v>
                </c:pt>
                <c:pt idx="52">
                  <c:v>800</c:v>
                </c:pt>
                <c:pt idx="53">
                  <c:v>810</c:v>
                </c:pt>
                <c:pt idx="54">
                  <c:v>820</c:v>
                </c:pt>
                <c:pt idx="55">
                  <c:v>830</c:v>
                </c:pt>
                <c:pt idx="56">
                  <c:v>840</c:v>
                </c:pt>
                <c:pt idx="57">
                  <c:v>850</c:v>
                </c:pt>
                <c:pt idx="58">
                  <c:v>860</c:v>
                </c:pt>
                <c:pt idx="59">
                  <c:v>870</c:v>
                </c:pt>
                <c:pt idx="60">
                  <c:v>880</c:v>
                </c:pt>
                <c:pt idx="61">
                  <c:v>890</c:v>
                </c:pt>
                <c:pt idx="62">
                  <c:v>900</c:v>
                </c:pt>
                <c:pt idx="63">
                  <c:v>910</c:v>
                </c:pt>
                <c:pt idx="64">
                  <c:v>920</c:v>
                </c:pt>
                <c:pt idx="65">
                  <c:v>930</c:v>
                </c:pt>
                <c:pt idx="66">
                  <c:v>940</c:v>
                </c:pt>
                <c:pt idx="67">
                  <c:v>950</c:v>
                </c:pt>
                <c:pt idx="68">
                  <c:v>960</c:v>
                </c:pt>
                <c:pt idx="69">
                  <c:v>970</c:v>
                </c:pt>
                <c:pt idx="70">
                  <c:v>980</c:v>
                </c:pt>
                <c:pt idx="71">
                  <c:v>990</c:v>
                </c:pt>
                <c:pt idx="72">
                  <c:v>1000</c:v>
                </c:pt>
                <c:pt idx="73">
                  <c:v>1010</c:v>
                </c:pt>
                <c:pt idx="74">
                  <c:v>1020</c:v>
                </c:pt>
                <c:pt idx="75">
                  <c:v>1030</c:v>
                </c:pt>
                <c:pt idx="76">
                  <c:v>1040</c:v>
                </c:pt>
                <c:pt idx="77">
                  <c:v>1050</c:v>
                </c:pt>
                <c:pt idx="78">
                  <c:v>1060</c:v>
                </c:pt>
                <c:pt idx="79">
                  <c:v>1070</c:v>
                </c:pt>
                <c:pt idx="80">
                  <c:v>1080</c:v>
                </c:pt>
                <c:pt idx="81">
                  <c:v>1090</c:v>
                </c:pt>
                <c:pt idx="82">
                  <c:v>1100</c:v>
                </c:pt>
                <c:pt idx="83">
                  <c:v>1110</c:v>
                </c:pt>
                <c:pt idx="84">
                  <c:v>1120</c:v>
                </c:pt>
                <c:pt idx="85">
                  <c:v>1130</c:v>
                </c:pt>
                <c:pt idx="86">
                  <c:v>1140</c:v>
                </c:pt>
                <c:pt idx="87">
                  <c:v>1150</c:v>
                </c:pt>
                <c:pt idx="88">
                  <c:v>1160</c:v>
                </c:pt>
                <c:pt idx="89">
                  <c:v>1170</c:v>
                </c:pt>
                <c:pt idx="90">
                  <c:v>1180</c:v>
                </c:pt>
                <c:pt idx="91">
                  <c:v>1190</c:v>
                </c:pt>
                <c:pt idx="92">
                  <c:v>1200</c:v>
                </c:pt>
                <c:pt idx="93">
                  <c:v>1210</c:v>
                </c:pt>
                <c:pt idx="94">
                  <c:v>1220</c:v>
                </c:pt>
                <c:pt idx="95">
                  <c:v>1230</c:v>
                </c:pt>
                <c:pt idx="96">
                  <c:v>1240</c:v>
                </c:pt>
                <c:pt idx="97">
                  <c:v>1250</c:v>
                </c:pt>
                <c:pt idx="98">
                  <c:v>1260</c:v>
                </c:pt>
                <c:pt idx="99">
                  <c:v>1270</c:v>
                </c:pt>
                <c:pt idx="100">
                  <c:v>1280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EB-48A5-859C-D6DBCB9D5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543648"/>
        <c:axId val="1825545824"/>
      </c:scatterChart>
      <c:valAx>
        <c:axId val="1825543648"/>
        <c:scaling>
          <c:orientation val="minMax"/>
          <c:max val="11"/>
          <c:min val="0"/>
        </c:scaling>
        <c:delete val="0"/>
        <c:axPos val="b"/>
        <c:numFmt formatCode="0" sourceLinked="0"/>
        <c:majorTickMark val="cross"/>
        <c:minorTickMark val="in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25545824"/>
        <c:crosses val="autoZero"/>
        <c:crossBetween val="midCat"/>
        <c:majorUnit val="1"/>
        <c:minorUnit val="0.5"/>
      </c:valAx>
      <c:valAx>
        <c:axId val="1825545824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25543648"/>
        <c:crosses val="autoZero"/>
        <c:crossBetween val="midCat"/>
        <c:majorUnit val="10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10076</xdr:colOff>
      <xdr:row>30</xdr:row>
      <xdr:rowOff>19878</xdr:rowOff>
    </xdr:from>
    <xdr:to>
      <xdr:col>16</xdr:col>
      <xdr:colOff>913646</xdr:colOff>
      <xdr:row>77</xdr:row>
      <xdr:rowOff>107416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3614775-212F-4CDA-95BB-0427C2AC0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9989" y="6208643"/>
          <a:ext cx="8132631" cy="9430321"/>
        </a:xfrm>
        <a:prstGeom prst="rect">
          <a:avLst/>
        </a:prstGeom>
      </xdr:spPr>
    </xdr:pic>
    <xdr:clientData/>
  </xdr:twoCellAnchor>
  <xdr:twoCellAnchor editAs="oneCell">
    <xdr:from>
      <xdr:col>31</xdr:col>
      <xdr:colOff>290945</xdr:colOff>
      <xdr:row>23</xdr:row>
      <xdr:rowOff>96982</xdr:rowOff>
    </xdr:from>
    <xdr:to>
      <xdr:col>44</xdr:col>
      <xdr:colOff>280428</xdr:colOff>
      <xdr:row>76</xdr:row>
      <xdr:rowOff>53580</xdr:rowOff>
    </xdr:to>
    <xdr:pic>
      <xdr:nvPicPr>
        <xdr:cNvPr id="22" name="Pictur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38327" y="4821382"/>
          <a:ext cx="8094392" cy="10236671"/>
        </a:xfrm>
        <a:prstGeom prst="rect">
          <a:avLst/>
        </a:prstGeom>
      </xdr:spPr>
    </xdr:pic>
    <xdr:clientData/>
  </xdr:twoCellAnchor>
  <xdr:twoCellAnchor>
    <xdr:from>
      <xdr:col>6</xdr:col>
      <xdr:colOff>768503</xdr:colOff>
      <xdr:row>28</xdr:row>
      <xdr:rowOff>152400</xdr:rowOff>
    </xdr:from>
    <xdr:to>
      <xdr:col>17</xdr:col>
      <xdr:colOff>34347</xdr:colOff>
      <xdr:row>63</xdr:row>
      <xdr:rowOff>157788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25</xdr:row>
          <xdr:rowOff>83820</xdr:rowOff>
        </xdr:from>
        <xdr:to>
          <xdr:col>9</xdr:col>
          <xdr:colOff>518160</xdr:colOff>
          <xdr:row>28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213360</xdr:colOff>
          <xdr:row>25</xdr:row>
          <xdr:rowOff>45720</xdr:rowOff>
        </xdr:from>
        <xdr:to>
          <xdr:col>16</xdr:col>
          <xdr:colOff>76200</xdr:colOff>
          <xdr:row>28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1121</xdr:colOff>
      <xdr:row>29</xdr:row>
      <xdr:rowOff>137518</xdr:rowOff>
    </xdr:from>
    <xdr:to>
      <xdr:col>17</xdr:col>
      <xdr:colOff>60893</xdr:colOff>
      <xdr:row>77</xdr:row>
      <xdr:rowOff>140799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3281034" y="6127501"/>
          <a:ext cx="8269494" cy="9544846"/>
          <a:chOff x="11590763" y="636337"/>
          <a:chExt cx="8293683" cy="9922619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590763" y="636337"/>
            <a:ext cx="8293683" cy="9922619"/>
          </a:xfrm>
          <a:prstGeom prst="rect">
            <a:avLst/>
          </a:prstGeom>
          <a:noFill/>
          <a:ln w="158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3205136" y="5806287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13178593" y="6036520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>
            <a:off x="13211772" y="6258146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13191865" y="6496988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/>
        </xdr:nvCxnSpPr>
        <xdr:spPr>
          <a:xfrm>
            <a:off x="13191865" y="6727225"/>
            <a:ext cx="5939366" cy="5895"/>
          </a:xfrm>
          <a:prstGeom prst="line">
            <a:avLst/>
          </a:prstGeom>
          <a:ln w="15875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32</xdr:row>
          <xdr:rowOff>190500</xdr:rowOff>
        </xdr:from>
        <xdr:to>
          <xdr:col>16</xdr:col>
          <xdr:colOff>68580</xdr:colOff>
          <xdr:row>34</xdr:row>
          <xdr:rowOff>83820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Line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</xdr:colOff>
          <xdr:row>35</xdr:row>
          <xdr:rowOff>0</xdr:rowOff>
        </xdr:from>
        <xdr:to>
          <xdr:col>16</xdr:col>
          <xdr:colOff>68580</xdr:colOff>
          <xdr:row>36</xdr:row>
          <xdr:rowOff>45720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Line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</xdr:colOff>
          <xdr:row>36</xdr:row>
          <xdr:rowOff>175260</xdr:rowOff>
        </xdr:from>
        <xdr:to>
          <xdr:col>16</xdr:col>
          <xdr:colOff>68580</xdr:colOff>
          <xdr:row>38</xdr:row>
          <xdr:rowOff>22860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Line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</xdr:colOff>
          <xdr:row>38</xdr:row>
          <xdr:rowOff>121920</xdr:rowOff>
        </xdr:from>
        <xdr:to>
          <xdr:col>16</xdr:col>
          <xdr:colOff>76200</xdr:colOff>
          <xdr:row>39</xdr:row>
          <xdr:rowOff>175260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Line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19</xdr:row>
          <xdr:rowOff>76200</xdr:rowOff>
        </xdr:from>
        <xdr:to>
          <xdr:col>3</xdr:col>
          <xdr:colOff>358140</xdr:colOff>
          <xdr:row>22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Studied Winds - Annual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23</xdr:row>
          <xdr:rowOff>15240</xdr:rowOff>
        </xdr:from>
        <xdr:to>
          <xdr:col>3</xdr:col>
          <xdr:colOff>342900</xdr:colOff>
          <xdr:row>26</xdr:row>
          <xdr:rowOff>38100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Studied Winds - Summer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227215</xdr:colOff>
      <xdr:row>27</xdr:row>
      <xdr:rowOff>83127</xdr:rowOff>
    </xdr:from>
    <xdr:to>
      <xdr:col>44</xdr:col>
      <xdr:colOff>193964</xdr:colOff>
      <xdr:row>62</xdr:row>
      <xdr:rowOff>60519</xdr:rowOff>
    </xdr:to>
    <xdr:graphicFrame macro="">
      <xdr:nvGraphicFramePr>
        <xdr:cNvPr id="20" name="Chart 3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2</xdr:row>
          <xdr:rowOff>22860</xdr:rowOff>
        </xdr:from>
        <xdr:to>
          <xdr:col>6</xdr:col>
          <xdr:colOff>601980</xdr:colOff>
          <xdr:row>4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</xdr:row>
          <xdr:rowOff>7620</xdr:rowOff>
        </xdr:from>
        <xdr:to>
          <xdr:col>10</xdr:col>
          <xdr:colOff>0</xdr:colOff>
          <xdr:row>4</xdr:row>
          <xdr:rowOff>22860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Setting Case Jou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563880</xdr:rowOff>
        </xdr:from>
        <xdr:to>
          <xdr:col>12</xdr:col>
          <xdr:colOff>571500</xdr:colOff>
          <xdr:row>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Running Case Bat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4</xdr:row>
          <xdr:rowOff>7620</xdr:rowOff>
        </xdr:from>
        <xdr:to>
          <xdr:col>2</xdr:col>
          <xdr:colOff>1181100</xdr:colOff>
          <xdr:row>5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</xdr:rowOff>
        </xdr:from>
        <xdr:to>
          <xdr:col>3</xdr:col>
          <xdr:colOff>0</xdr:colOff>
          <xdr:row>13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Jou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18</xdr:row>
          <xdr:rowOff>0</xdr:rowOff>
        </xdr:from>
        <xdr:to>
          <xdr:col>3</xdr:col>
          <xdr:colOff>0</xdr:colOff>
          <xdr:row>19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Fluent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175260</xdr:rowOff>
        </xdr:from>
        <xdr:to>
          <xdr:col>21</xdr:col>
          <xdr:colOff>594360</xdr:colOff>
          <xdr:row>4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getSetupCase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5</xdr:row>
          <xdr:rowOff>182880</xdr:rowOff>
        </xdr:from>
        <xdr:to>
          <xdr:col>22</xdr:col>
          <xdr:colOff>0</xdr:colOff>
          <xdr:row>8</xdr:row>
          <xdr:rowOff>38100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getMassflow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83820</xdr:colOff>
          <xdr:row>11</xdr:row>
          <xdr:rowOff>68580</xdr:rowOff>
        </xdr:from>
        <xdr:to>
          <xdr:col>21</xdr:col>
          <xdr:colOff>579120</xdr:colOff>
          <xdr:row>13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getContour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198120</xdr:colOff>
          <xdr:row>2</xdr:row>
          <xdr:rowOff>7620</xdr:rowOff>
        </xdr:from>
        <xdr:to>
          <xdr:col>21</xdr:col>
          <xdr:colOff>160020</xdr:colOff>
          <xdr:row>4</xdr:row>
          <xdr:rowOff>144780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Y65"/>
  <sheetViews>
    <sheetView topLeftCell="A7" zoomScale="70" zoomScaleNormal="70" workbookViewId="0">
      <selection activeCell="W51" sqref="W51"/>
    </sheetView>
  </sheetViews>
  <sheetFormatPr defaultRowHeight="14.4" x14ac:dyDescent="0.25"/>
  <cols>
    <col min="1" max="1" width="11.109375" customWidth="1"/>
    <col min="2" max="2" width="15.88671875" customWidth="1"/>
    <col min="3" max="3" width="16.44140625" bestFit="1" customWidth="1"/>
    <col min="4" max="4" width="11.5546875" customWidth="1"/>
  </cols>
  <sheetData>
    <row r="1" spans="1:25" ht="32.25" customHeight="1" x14ac:dyDescent="0.25">
      <c r="A1" s="18" t="s">
        <v>61</v>
      </c>
      <c r="B1" s="18" t="s">
        <v>59</v>
      </c>
      <c r="C1" s="19"/>
    </row>
    <row r="2" spans="1:25" x14ac:dyDescent="0.25">
      <c r="A2" s="20" t="s">
        <v>56</v>
      </c>
      <c r="B2" s="12" t="s">
        <v>97</v>
      </c>
      <c r="C2" s="12" t="s">
        <v>10</v>
      </c>
      <c r="D2" s="12" t="s">
        <v>11</v>
      </c>
      <c r="E2" s="12" t="s">
        <v>12</v>
      </c>
      <c r="F2" s="12" t="s">
        <v>13</v>
      </c>
      <c r="G2" s="12" t="s">
        <v>14</v>
      </c>
      <c r="H2" s="12" t="s">
        <v>15</v>
      </c>
      <c r="I2" s="12" t="s">
        <v>16</v>
      </c>
      <c r="J2" s="12" t="s">
        <v>17</v>
      </c>
      <c r="K2" s="12" t="s">
        <v>18</v>
      </c>
      <c r="L2" s="12" t="s">
        <v>19</v>
      </c>
      <c r="M2" s="12" t="s">
        <v>20</v>
      </c>
      <c r="N2" s="12" t="s">
        <v>21</v>
      </c>
      <c r="O2" s="12" t="s">
        <v>22</v>
      </c>
      <c r="P2" s="12" t="s">
        <v>23</v>
      </c>
      <c r="Q2" s="12" t="s">
        <v>24</v>
      </c>
      <c r="R2" s="12" t="s">
        <v>25</v>
      </c>
      <c r="S2" s="12" t="s">
        <v>26</v>
      </c>
      <c r="T2" s="12"/>
      <c r="V2" s="12" t="str">
        <f>D2</f>
        <v>N</v>
      </c>
      <c r="W2">
        <v>13</v>
      </c>
      <c r="Y2">
        <v>16</v>
      </c>
    </row>
    <row r="3" spans="1:25" x14ac:dyDescent="0.25">
      <c r="A3" s="12" t="s">
        <v>60</v>
      </c>
      <c r="B3" s="12" t="s">
        <v>28</v>
      </c>
      <c r="C3" s="12" t="s">
        <v>29</v>
      </c>
      <c r="D3" s="64">
        <v>2.1000000000000001E-2</v>
      </c>
      <c r="E3" s="64">
        <v>6.0999999999999999E-2</v>
      </c>
      <c r="F3" s="64">
        <v>7.5999999999999998E-2</v>
      </c>
      <c r="G3" s="64">
        <v>0.14000000000000001</v>
      </c>
      <c r="H3" s="64">
        <v>0.22500000000000001</v>
      </c>
      <c r="I3" s="64">
        <v>0.111</v>
      </c>
      <c r="J3" s="64">
        <v>5.2999999999999999E-2</v>
      </c>
      <c r="K3" s="64">
        <v>4.3999999999999997E-2</v>
      </c>
      <c r="L3" s="64">
        <v>4.3999999999999997E-2</v>
      </c>
      <c r="M3" s="64">
        <v>6.2E-2</v>
      </c>
      <c r="N3" s="64">
        <v>5.8999999999999997E-2</v>
      </c>
      <c r="O3" s="64">
        <v>3.6999999999999998E-2</v>
      </c>
      <c r="P3" s="64">
        <v>2.7E-2</v>
      </c>
      <c r="Q3" s="64">
        <v>1.4999999999999999E-2</v>
      </c>
      <c r="R3" s="64">
        <v>1.2999999999999999E-2</v>
      </c>
      <c r="S3" s="64">
        <v>1.2E-2</v>
      </c>
      <c r="T3" s="13"/>
      <c r="V3" s="12" t="s">
        <v>12</v>
      </c>
      <c r="W3">
        <v>6</v>
      </c>
      <c r="X3">
        <v>0.35</v>
      </c>
      <c r="Y3">
        <v>15</v>
      </c>
    </row>
    <row r="4" spans="1:25" x14ac:dyDescent="0.25">
      <c r="A4" s="13">
        <v>0.5</v>
      </c>
      <c r="B4" s="12" t="s">
        <v>28</v>
      </c>
      <c r="C4" s="12" t="s">
        <v>29</v>
      </c>
      <c r="D4" s="15">
        <v>2.5999999999999999E-2</v>
      </c>
      <c r="E4" s="15">
        <v>6.4000000000000001E-2</v>
      </c>
      <c r="F4" s="15">
        <v>0.08</v>
      </c>
      <c r="G4" s="15">
        <v>0.107</v>
      </c>
      <c r="H4" s="15">
        <v>0.17</v>
      </c>
      <c r="I4" s="15">
        <v>0.14599999999999999</v>
      </c>
      <c r="J4" s="15">
        <v>8.8999999999999996E-2</v>
      </c>
      <c r="K4" s="15">
        <v>4.8000000000000001E-2</v>
      </c>
      <c r="L4" s="15">
        <v>4.7E-2</v>
      </c>
      <c r="M4" s="15">
        <v>6.6000000000000003E-2</v>
      </c>
      <c r="N4" s="15">
        <v>5.6000000000000001E-2</v>
      </c>
      <c r="O4" s="15">
        <v>3.5000000000000003E-2</v>
      </c>
      <c r="P4" s="15">
        <v>2.5000000000000001E-2</v>
      </c>
      <c r="Q4" s="15">
        <v>1.2E-2</v>
      </c>
      <c r="R4" s="15">
        <v>1.2E-2</v>
      </c>
      <c r="S4" s="15">
        <v>1.4999999999999999E-2</v>
      </c>
      <c r="V4" s="12" t="s">
        <v>13</v>
      </c>
      <c r="W4">
        <v>4</v>
      </c>
      <c r="X4">
        <v>0.35</v>
      </c>
      <c r="Y4">
        <v>13</v>
      </c>
    </row>
    <row r="5" spans="1:25" x14ac:dyDescent="0.25">
      <c r="A5" s="13">
        <v>1.5</v>
      </c>
      <c r="B5" s="12" t="s">
        <v>30</v>
      </c>
      <c r="C5" s="12">
        <v>2.3E-2</v>
      </c>
      <c r="D5" s="15">
        <v>1E-3</v>
      </c>
      <c r="E5" s="15">
        <v>1E-3</v>
      </c>
      <c r="F5" s="15">
        <v>1E-3</v>
      </c>
      <c r="G5" s="15">
        <v>1E-3</v>
      </c>
      <c r="H5" s="15">
        <v>3.0000000000000001E-3</v>
      </c>
      <c r="I5" s="15">
        <v>1E-3</v>
      </c>
      <c r="J5" s="15">
        <v>2E-3</v>
      </c>
      <c r="K5" s="15">
        <v>2E-3</v>
      </c>
      <c r="L5" s="15">
        <v>1E-3</v>
      </c>
      <c r="M5" s="15">
        <v>1E-3</v>
      </c>
      <c r="N5" s="15">
        <v>1E-3</v>
      </c>
      <c r="O5" s="15">
        <v>1E-3</v>
      </c>
      <c r="P5" s="15">
        <v>3.0000000000000001E-3</v>
      </c>
      <c r="Q5" s="15">
        <v>1E-3</v>
      </c>
      <c r="R5" s="15">
        <v>1E-3</v>
      </c>
      <c r="S5" s="15">
        <v>1E-3</v>
      </c>
      <c r="V5" s="12" t="s">
        <v>14</v>
      </c>
      <c r="W5">
        <v>2</v>
      </c>
      <c r="X5">
        <v>0.35</v>
      </c>
      <c r="Y5">
        <v>10</v>
      </c>
    </row>
    <row r="6" spans="1:25" x14ac:dyDescent="0.25">
      <c r="A6" s="13">
        <f>A5+1</f>
        <v>2.5</v>
      </c>
      <c r="B6" s="12" t="s">
        <v>31</v>
      </c>
      <c r="C6" s="12">
        <v>5.7000000000000002E-2</v>
      </c>
      <c r="D6" s="15">
        <v>3.0000000000000001E-3</v>
      </c>
      <c r="E6" s="15">
        <v>3.0000000000000001E-3</v>
      </c>
      <c r="F6" s="15">
        <v>4.0000000000000001E-3</v>
      </c>
      <c r="G6" s="15">
        <v>5.0000000000000001E-3</v>
      </c>
      <c r="H6" s="15">
        <v>7.0000000000000001E-3</v>
      </c>
      <c r="I6" s="15">
        <v>4.0000000000000001E-3</v>
      </c>
      <c r="J6" s="15">
        <v>4.0000000000000001E-3</v>
      </c>
      <c r="K6" s="15">
        <v>4.0000000000000001E-3</v>
      </c>
      <c r="L6" s="15">
        <v>4.0000000000000001E-3</v>
      </c>
      <c r="M6" s="15">
        <v>4.0000000000000001E-3</v>
      </c>
      <c r="N6" s="15">
        <v>3.0000000000000001E-3</v>
      </c>
      <c r="O6" s="15">
        <v>3.0000000000000001E-3</v>
      </c>
      <c r="P6" s="15">
        <v>4.0000000000000001E-3</v>
      </c>
      <c r="Q6" s="15">
        <v>2E-3</v>
      </c>
      <c r="R6" s="15">
        <v>2E-3</v>
      </c>
      <c r="S6" s="15">
        <v>2E-3</v>
      </c>
      <c r="V6" s="12" t="s">
        <v>15</v>
      </c>
      <c r="W6">
        <v>1</v>
      </c>
      <c r="X6">
        <v>0.35</v>
      </c>
      <c r="Y6">
        <v>4</v>
      </c>
    </row>
    <row r="7" spans="1:25" x14ac:dyDescent="0.25">
      <c r="A7" s="13">
        <f t="shared" ref="A7:A27" si="0">A6+1</f>
        <v>3.5</v>
      </c>
      <c r="B7" s="12" t="s">
        <v>32</v>
      </c>
      <c r="C7" s="12">
        <v>9.1999999999999998E-2</v>
      </c>
      <c r="D7" s="15">
        <v>4.0000000000000001E-3</v>
      </c>
      <c r="E7" s="15">
        <v>5.0000000000000001E-3</v>
      </c>
      <c r="F7" s="15">
        <v>8.9999999999999993E-3</v>
      </c>
      <c r="G7" s="15">
        <v>0.01</v>
      </c>
      <c r="H7" s="15">
        <v>1.2E-2</v>
      </c>
      <c r="I7" s="15">
        <v>7.0000000000000001E-3</v>
      </c>
      <c r="J7" s="15">
        <v>6.0000000000000001E-3</v>
      </c>
      <c r="K7" s="15">
        <v>5.0000000000000001E-3</v>
      </c>
      <c r="L7" s="15">
        <v>7.0000000000000001E-3</v>
      </c>
      <c r="M7" s="15">
        <v>6.0000000000000001E-3</v>
      </c>
      <c r="N7" s="15">
        <v>4.0000000000000001E-3</v>
      </c>
      <c r="O7" s="15">
        <v>4.0000000000000001E-3</v>
      </c>
      <c r="P7" s="15">
        <v>5.0000000000000001E-3</v>
      </c>
      <c r="Q7" s="15">
        <v>2E-3</v>
      </c>
      <c r="R7" s="15">
        <v>2E-3</v>
      </c>
      <c r="S7" s="15">
        <v>3.0000000000000001E-3</v>
      </c>
      <c r="V7" s="12" t="s">
        <v>16</v>
      </c>
      <c r="W7">
        <v>3</v>
      </c>
      <c r="X7">
        <v>0.35</v>
      </c>
      <c r="Y7">
        <v>3</v>
      </c>
    </row>
    <row r="8" spans="1:25" x14ac:dyDescent="0.25">
      <c r="A8" s="13">
        <f t="shared" si="0"/>
        <v>4.5</v>
      </c>
      <c r="B8" s="12" t="s">
        <v>33</v>
      </c>
      <c r="C8" s="12">
        <v>0.123</v>
      </c>
      <c r="D8" s="15">
        <v>4.0000000000000001E-3</v>
      </c>
      <c r="E8" s="15">
        <v>7.0000000000000001E-3</v>
      </c>
      <c r="F8" s="15">
        <v>1.4E-2</v>
      </c>
      <c r="G8" s="15">
        <v>1.7000000000000001E-2</v>
      </c>
      <c r="H8" s="15">
        <v>0.02</v>
      </c>
      <c r="I8" s="15">
        <v>1.0999999999999999E-2</v>
      </c>
      <c r="J8" s="15">
        <v>5.0000000000000001E-3</v>
      </c>
      <c r="K8" s="15">
        <v>6.0000000000000001E-3</v>
      </c>
      <c r="L8" s="15">
        <v>8.0000000000000002E-3</v>
      </c>
      <c r="M8" s="15">
        <v>8.0000000000000002E-3</v>
      </c>
      <c r="N8" s="15">
        <v>6.0000000000000001E-3</v>
      </c>
      <c r="O8" s="15">
        <v>5.0000000000000001E-3</v>
      </c>
      <c r="P8" s="15">
        <v>4.0000000000000001E-3</v>
      </c>
      <c r="Q8" s="15">
        <v>2E-3</v>
      </c>
      <c r="R8" s="15">
        <v>2E-3</v>
      </c>
      <c r="S8" s="15">
        <v>3.0000000000000001E-3</v>
      </c>
      <c r="V8" s="12" t="s">
        <v>17</v>
      </c>
      <c r="W8">
        <v>8</v>
      </c>
      <c r="X8">
        <v>0.35</v>
      </c>
      <c r="Y8">
        <v>8</v>
      </c>
    </row>
    <row r="9" spans="1:25" x14ac:dyDescent="0.25">
      <c r="A9" s="13">
        <f t="shared" si="0"/>
        <v>5.5</v>
      </c>
      <c r="B9" s="12" t="s">
        <v>34</v>
      </c>
      <c r="C9" s="12">
        <v>0.13900000000000001</v>
      </c>
      <c r="D9" s="15">
        <v>4.0000000000000001E-3</v>
      </c>
      <c r="E9" s="15">
        <v>7.0000000000000001E-3</v>
      </c>
      <c r="F9" s="15">
        <v>1.6E-2</v>
      </c>
      <c r="G9" s="15">
        <v>0.02</v>
      </c>
      <c r="H9" s="15">
        <v>2.5000000000000001E-2</v>
      </c>
      <c r="I9" s="15">
        <v>1.6E-2</v>
      </c>
      <c r="J9" s="15">
        <v>7.0000000000000001E-3</v>
      </c>
      <c r="K9" s="15">
        <v>7.0000000000000001E-3</v>
      </c>
      <c r="L9" s="15">
        <v>8.9999999999999993E-3</v>
      </c>
      <c r="M9" s="15">
        <v>8.0000000000000002E-3</v>
      </c>
      <c r="N9" s="15">
        <v>7.0000000000000001E-3</v>
      </c>
      <c r="O9" s="15">
        <v>5.0000000000000001E-3</v>
      </c>
      <c r="P9" s="15">
        <v>4.0000000000000001E-3</v>
      </c>
      <c r="Q9" s="15">
        <v>2E-3</v>
      </c>
      <c r="R9" s="15">
        <v>2E-3</v>
      </c>
      <c r="S9" s="15">
        <v>2E-3</v>
      </c>
      <c r="V9" s="12" t="s">
        <v>18</v>
      </c>
      <c r="W9">
        <v>9</v>
      </c>
      <c r="X9">
        <v>0.35</v>
      </c>
      <c r="Y9">
        <v>7</v>
      </c>
    </row>
    <row r="10" spans="1:25" x14ac:dyDescent="0.25">
      <c r="A10" s="13">
        <f t="shared" si="0"/>
        <v>6.5</v>
      </c>
      <c r="B10" s="12" t="s">
        <v>35</v>
      </c>
      <c r="C10" s="12">
        <v>0.13400000000000001</v>
      </c>
      <c r="D10" s="15">
        <v>3.0000000000000001E-3</v>
      </c>
      <c r="E10" s="15">
        <v>7.0000000000000001E-3</v>
      </c>
      <c r="F10" s="15">
        <v>1.4E-2</v>
      </c>
      <c r="G10" s="15">
        <v>1.9E-2</v>
      </c>
      <c r="H10" s="15">
        <v>2.5000000000000001E-2</v>
      </c>
      <c r="I10" s="15">
        <v>1.7999999999999999E-2</v>
      </c>
      <c r="J10" s="15">
        <v>0.01</v>
      </c>
      <c r="K10" s="15">
        <v>6.0000000000000001E-3</v>
      </c>
      <c r="L10" s="15">
        <v>6.0000000000000001E-3</v>
      </c>
      <c r="M10" s="15">
        <v>8.0000000000000002E-3</v>
      </c>
      <c r="N10" s="15">
        <v>7.0000000000000001E-3</v>
      </c>
      <c r="O10" s="15">
        <v>5.0000000000000001E-3</v>
      </c>
      <c r="P10" s="15">
        <v>3.0000000000000001E-3</v>
      </c>
      <c r="Q10" s="15">
        <v>1E-3</v>
      </c>
      <c r="R10" s="15">
        <v>1E-3</v>
      </c>
      <c r="S10" s="15">
        <v>1E-3</v>
      </c>
      <c r="V10" s="12" t="s">
        <v>19</v>
      </c>
      <c r="W10">
        <v>9</v>
      </c>
      <c r="X10">
        <v>0.35</v>
      </c>
      <c r="Y10">
        <v>6</v>
      </c>
    </row>
    <row r="11" spans="1:25" x14ac:dyDescent="0.25">
      <c r="A11" s="13">
        <f t="shared" si="0"/>
        <v>7.5</v>
      </c>
      <c r="B11" s="12" t="s">
        <v>36</v>
      </c>
      <c r="C11" s="12">
        <v>0.112</v>
      </c>
      <c r="D11" s="15">
        <v>2E-3</v>
      </c>
      <c r="E11" s="15">
        <v>6.0000000000000001E-3</v>
      </c>
      <c r="F11" s="15">
        <v>8.9999999999999993E-3</v>
      </c>
      <c r="G11" s="15">
        <v>1.2E-2</v>
      </c>
      <c r="H11" s="15">
        <v>2.1000000000000001E-2</v>
      </c>
      <c r="I11" s="15">
        <v>0.02</v>
      </c>
      <c r="J11" s="15">
        <v>1.0999999999999999E-2</v>
      </c>
      <c r="K11" s="15">
        <v>5.0000000000000001E-3</v>
      </c>
      <c r="L11" s="15">
        <v>4.0000000000000001E-3</v>
      </c>
      <c r="M11" s="15">
        <v>8.0000000000000002E-3</v>
      </c>
      <c r="N11" s="15">
        <v>8.0000000000000002E-3</v>
      </c>
      <c r="O11" s="15">
        <v>3.0000000000000001E-3</v>
      </c>
      <c r="P11" s="15">
        <v>1E-3</v>
      </c>
      <c r="Q11" s="15">
        <v>1E-3</v>
      </c>
      <c r="R11" s="15">
        <v>1E-3</v>
      </c>
      <c r="S11" s="15">
        <v>1E-3</v>
      </c>
      <c r="V11" s="12" t="s">
        <v>20</v>
      </c>
      <c r="W11">
        <v>5</v>
      </c>
      <c r="X11">
        <v>0.35</v>
      </c>
      <c r="Y11">
        <v>2</v>
      </c>
    </row>
    <row r="12" spans="1:25" x14ac:dyDescent="0.25">
      <c r="A12" s="13">
        <f t="shared" si="0"/>
        <v>8.5</v>
      </c>
      <c r="B12" s="12" t="s">
        <v>37</v>
      </c>
      <c r="C12" s="12">
        <v>9.5000000000000001E-2</v>
      </c>
      <c r="D12" s="15">
        <v>2E-3</v>
      </c>
      <c r="E12" s="15">
        <v>6.0000000000000001E-3</v>
      </c>
      <c r="F12" s="15">
        <v>6.0000000000000001E-3</v>
      </c>
      <c r="G12" s="15">
        <v>8.0000000000000002E-3</v>
      </c>
      <c r="H12" s="15">
        <v>1.7000000000000001E-2</v>
      </c>
      <c r="I12" s="15">
        <v>1.7999999999999999E-2</v>
      </c>
      <c r="J12" s="15">
        <v>1.2E-2</v>
      </c>
      <c r="K12" s="15">
        <v>4.0000000000000001E-3</v>
      </c>
      <c r="L12" s="15">
        <v>2E-3</v>
      </c>
      <c r="M12" s="15">
        <v>7.0000000000000001E-3</v>
      </c>
      <c r="N12" s="15">
        <v>6.0000000000000001E-3</v>
      </c>
      <c r="O12" s="15">
        <v>3.0000000000000001E-3</v>
      </c>
      <c r="P12" s="15">
        <v>1E-3</v>
      </c>
      <c r="Q12" s="15">
        <v>0</v>
      </c>
      <c r="R12" s="15">
        <v>1E-3</v>
      </c>
      <c r="S12" s="15">
        <v>1E-3</v>
      </c>
      <c r="V12" s="12" t="s">
        <v>21</v>
      </c>
      <c r="W12">
        <v>7</v>
      </c>
      <c r="X12">
        <v>0.35</v>
      </c>
      <c r="Y12">
        <v>1</v>
      </c>
    </row>
    <row r="13" spans="1:25" x14ac:dyDescent="0.25">
      <c r="A13" s="13">
        <f t="shared" si="0"/>
        <v>9.5</v>
      </c>
      <c r="B13" s="12" t="s">
        <v>38</v>
      </c>
      <c r="C13" s="12">
        <v>7.1999999999999995E-2</v>
      </c>
      <c r="D13" s="15">
        <v>1E-3</v>
      </c>
      <c r="E13" s="15">
        <v>5.0000000000000001E-3</v>
      </c>
      <c r="F13" s="15">
        <v>3.0000000000000001E-3</v>
      </c>
      <c r="G13" s="15">
        <v>5.0000000000000001E-3</v>
      </c>
      <c r="H13" s="15">
        <v>1.2999999999999999E-2</v>
      </c>
      <c r="I13" s="15">
        <v>1.6E-2</v>
      </c>
      <c r="J13" s="15">
        <v>1.0999999999999999E-2</v>
      </c>
      <c r="K13" s="15">
        <v>3.0000000000000001E-3</v>
      </c>
      <c r="L13" s="15">
        <v>2E-3</v>
      </c>
      <c r="M13" s="15">
        <v>6.0000000000000001E-3</v>
      </c>
      <c r="N13" s="15">
        <v>4.0000000000000001E-3</v>
      </c>
      <c r="O13" s="15">
        <v>2E-3</v>
      </c>
      <c r="P13" s="15">
        <v>0</v>
      </c>
      <c r="Q13" s="15">
        <v>0</v>
      </c>
      <c r="R13" s="15">
        <v>0</v>
      </c>
      <c r="S13" s="15">
        <v>0</v>
      </c>
      <c r="V13" s="12" t="s">
        <v>22</v>
      </c>
      <c r="W13">
        <v>11</v>
      </c>
      <c r="X13">
        <v>0.35</v>
      </c>
      <c r="Y13">
        <v>5</v>
      </c>
    </row>
    <row r="14" spans="1:25" x14ac:dyDescent="0.25">
      <c r="A14" s="13">
        <f t="shared" si="0"/>
        <v>10.5</v>
      </c>
      <c r="B14" s="12" t="s">
        <v>39</v>
      </c>
      <c r="C14" s="12">
        <v>5.1999999999999998E-2</v>
      </c>
      <c r="D14" s="15">
        <v>1E-3</v>
      </c>
      <c r="E14" s="15">
        <v>4.0000000000000001E-3</v>
      </c>
      <c r="F14" s="15">
        <v>2E-3</v>
      </c>
      <c r="G14" s="15">
        <v>3.0000000000000001E-3</v>
      </c>
      <c r="H14" s="15">
        <v>8.9999999999999993E-3</v>
      </c>
      <c r="I14" s="15">
        <v>1.2999999999999999E-2</v>
      </c>
      <c r="J14" s="15">
        <v>8.0000000000000002E-3</v>
      </c>
      <c r="K14" s="15">
        <v>2E-3</v>
      </c>
      <c r="L14" s="15">
        <v>1E-3</v>
      </c>
      <c r="M14" s="15">
        <v>4.0000000000000001E-3</v>
      </c>
      <c r="N14" s="15">
        <v>3.0000000000000001E-3</v>
      </c>
      <c r="O14" s="15">
        <v>1E-3</v>
      </c>
      <c r="P14" s="15">
        <v>0</v>
      </c>
      <c r="Q14" s="15">
        <v>0</v>
      </c>
      <c r="R14" s="15">
        <v>0</v>
      </c>
      <c r="S14" s="15">
        <v>0</v>
      </c>
      <c r="V14" s="12" t="s">
        <v>23</v>
      </c>
      <c r="W14">
        <v>12</v>
      </c>
      <c r="Y14">
        <v>9</v>
      </c>
    </row>
    <row r="15" spans="1:25" x14ac:dyDescent="0.25">
      <c r="A15" s="13">
        <f t="shared" si="0"/>
        <v>11.5</v>
      </c>
      <c r="B15" s="12" t="s">
        <v>40</v>
      </c>
      <c r="C15" s="12">
        <v>3.5999999999999997E-2</v>
      </c>
      <c r="D15" s="15">
        <v>1E-3</v>
      </c>
      <c r="E15" s="15">
        <v>3.0000000000000001E-3</v>
      </c>
      <c r="F15" s="15">
        <v>1E-3</v>
      </c>
      <c r="G15" s="15">
        <v>2E-3</v>
      </c>
      <c r="H15" s="15">
        <v>6.0000000000000001E-3</v>
      </c>
      <c r="I15" s="15">
        <v>8.0000000000000002E-3</v>
      </c>
      <c r="J15" s="15">
        <v>6.0000000000000001E-3</v>
      </c>
      <c r="K15" s="15">
        <v>2E-3</v>
      </c>
      <c r="L15" s="15">
        <v>1E-3</v>
      </c>
      <c r="M15" s="15">
        <v>3.0000000000000001E-3</v>
      </c>
      <c r="N15" s="15">
        <v>2E-3</v>
      </c>
      <c r="O15" s="15">
        <v>1E-3</v>
      </c>
      <c r="P15" s="15">
        <v>0</v>
      </c>
      <c r="Q15" s="15">
        <v>0</v>
      </c>
      <c r="R15" s="15">
        <v>0</v>
      </c>
      <c r="S15" s="15">
        <v>0</v>
      </c>
      <c r="V15" s="12" t="s">
        <v>24</v>
      </c>
      <c r="W15">
        <v>14</v>
      </c>
      <c r="Y15">
        <v>10</v>
      </c>
    </row>
    <row r="16" spans="1:25" x14ac:dyDescent="0.25">
      <c r="A16" s="13">
        <f t="shared" si="0"/>
        <v>12.5</v>
      </c>
      <c r="B16" s="12" t="s">
        <v>41</v>
      </c>
      <c r="C16" s="12">
        <v>2.4E-2</v>
      </c>
      <c r="D16" s="15">
        <v>0</v>
      </c>
      <c r="E16" s="15">
        <v>3.0000000000000001E-3</v>
      </c>
      <c r="F16" s="15">
        <v>0</v>
      </c>
      <c r="G16" s="15">
        <v>1E-3</v>
      </c>
      <c r="H16" s="15">
        <v>4.0000000000000001E-3</v>
      </c>
      <c r="I16" s="15">
        <v>6.0000000000000001E-3</v>
      </c>
      <c r="J16" s="15">
        <v>3.0000000000000001E-3</v>
      </c>
      <c r="K16" s="15">
        <v>1E-3</v>
      </c>
      <c r="L16" s="15">
        <v>0</v>
      </c>
      <c r="M16" s="15">
        <v>2E-3</v>
      </c>
      <c r="N16" s="15">
        <v>1E-3</v>
      </c>
      <c r="O16" s="15">
        <v>1E-3</v>
      </c>
      <c r="P16" s="15">
        <v>0</v>
      </c>
      <c r="Q16" s="15">
        <v>0</v>
      </c>
      <c r="R16" s="15">
        <v>0</v>
      </c>
      <c r="S16" s="15">
        <v>0</v>
      </c>
      <c r="V16" s="12" t="s">
        <v>25</v>
      </c>
      <c r="W16">
        <v>15</v>
      </c>
      <c r="Y16">
        <v>12</v>
      </c>
    </row>
    <row r="17" spans="1:25" x14ac:dyDescent="0.25">
      <c r="A17" s="13">
        <f t="shared" si="0"/>
        <v>13.5</v>
      </c>
      <c r="B17" s="12" t="s">
        <v>42</v>
      </c>
      <c r="C17" s="12">
        <v>1.4999999999999999E-2</v>
      </c>
      <c r="D17" s="15">
        <v>0</v>
      </c>
      <c r="E17" s="15">
        <v>2E-3</v>
      </c>
      <c r="F17" s="15">
        <v>0</v>
      </c>
      <c r="G17" s="15">
        <v>1E-3</v>
      </c>
      <c r="H17" s="15">
        <v>2E-3</v>
      </c>
      <c r="I17" s="15">
        <v>4.0000000000000001E-3</v>
      </c>
      <c r="J17" s="15">
        <v>2E-3</v>
      </c>
      <c r="K17" s="15">
        <v>1E-3</v>
      </c>
      <c r="L17" s="15">
        <v>0</v>
      </c>
      <c r="M17" s="15">
        <v>1E-3</v>
      </c>
      <c r="N17" s="15">
        <v>1E-3</v>
      </c>
      <c r="O17" s="15">
        <v>0</v>
      </c>
      <c r="P17" s="15">
        <v>0</v>
      </c>
      <c r="Q17" s="15">
        <v>0</v>
      </c>
      <c r="R17" s="15">
        <v>0</v>
      </c>
      <c r="S17" s="15">
        <v>0</v>
      </c>
      <c r="V17" s="12" t="s">
        <v>26</v>
      </c>
      <c r="W17">
        <v>16</v>
      </c>
      <c r="Y17">
        <v>14</v>
      </c>
    </row>
    <row r="18" spans="1:25" x14ac:dyDescent="0.25">
      <c r="A18" s="13">
        <f t="shared" si="0"/>
        <v>14.5</v>
      </c>
      <c r="B18" s="12" t="s">
        <v>43</v>
      </c>
      <c r="C18" s="12">
        <v>0.01</v>
      </c>
      <c r="D18" s="15">
        <v>0</v>
      </c>
      <c r="E18" s="15">
        <v>2E-3</v>
      </c>
      <c r="F18" s="15">
        <v>0</v>
      </c>
      <c r="G18" s="15">
        <v>1E-3</v>
      </c>
      <c r="H18" s="15">
        <v>1E-3</v>
      </c>
      <c r="I18" s="15">
        <v>2E-3</v>
      </c>
      <c r="J18" s="15">
        <v>1E-3</v>
      </c>
      <c r="K18" s="15">
        <v>1E-3</v>
      </c>
      <c r="L18" s="15">
        <v>0</v>
      </c>
      <c r="M18" s="15">
        <v>0</v>
      </c>
      <c r="N18" s="15">
        <v>1E-3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</row>
    <row r="19" spans="1:25" x14ac:dyDescent="0.25">
      <c r="A19" s="13">
        <f t="shared" si="0"/>
        <v>15.5</v>
      </c>
      <c r="B19" s="12" t="s">
        <v>44</v>
      </c>
      <c r="C19" s="12">
        <v>6.0000000000000001E-3</v>
      </c>
      <c r="D19" s="15">
        <v>0</v>
      </c>
      <c r="E19" s="15">
        <v>1E-3</v>
      </c>
      <c r="F19" s="15">
        <v>0</v>
      </c>
      <c r="G19" s="15">
        <v>0</v>
      </c>
      <c r="H19" s="15">
        <v>1E-3</v>
      </c>
      <c r="I19" s="15">
        <v>1E-3</v>
      </c>
      <c r="J19" s="15">
        <v>1E-3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</row>
    <row r="20" spans="1:25" x14ac:dyDescent="0.25">
      <c r="A20" s="13">
        <f t="shared" si="0"/>
        <v>16.5</v>
      </c>
      <c r="B20" s="12" t="s">
        <v>45</v>
      </c>
      <c r="C20" s="12">
        <v>3.0000000000000001E-3</v>
      </c>
      <c r="D20" s="15">
        <v>0</v>
      </c>
      <c r="E20" s="15">
        <v>0</v>
      </c>
      <c r="F20" s="15">
        <v>0</v>
      </c>
      <c r="G20" s="15">
        <v>0</v>
      </c>
      <c r="H20" s="15">
        <v>1E-3</v>
      </c>
      <c r="I20" s="15">
        <v>1E-3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U20" s="64">
        <v>2.9000000000000001E-2</v>
      </c>
      <c r="V20" s="64">
        <v>2.1000000000000001E-2</v>
      </c>
    </row>
    <row r="21" spans="1:25" x14ac:dyDescent="0.25">
      <c r="A21" s="13">
        <f t="shared" si="0"/>
        <v>17.5</v>
      </c>
      <c r="B21" s="12" t="s">
        <v>46</v>
      </c>
      <c r="C21" s="12">
        <v>2E-3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U21" s="64">
        <v>6.8000000000000005E-2</v>
      </c>
      <c r="V21" s="64">
        <v>6.0999999999999999E-2</v>
      </c>
    </row>
    <row r="22" spans="1:25" x14ac:dyDescent="0.25">
      <c r="A22" s="13">
        <f t="shared" si="0"/>
        <v>18.5</v>
      </c>
      <c r="B22" s="12" t="s">
        <v>47</v>
      </c>
      <c r="C22" s="12">
        <v>1E-3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U22" s="64">
        <v>8.4000000000000005E-2</v>
      </c>
      <c r="V22" s="64">
        <v>7.5999999999999998E-2</v>
      </c>
    </row>
    <row r="23" spans="1:25" x14ac:dyDescent="0.25">
      <c r="A23" s="13">
        <f t="shared" si="0"/>
        <v>19.5</v>
      </c>
      <c r="B23" s="12" t="s">
        <v>48</v>
      </c>
      <c r="C23" s="12">
        <v>1E-3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0</v>
      </c>
      <c r="R23" s="15">
        <v>0</v>
      </c>
      <c r="S23" s="15">
        <v>0</v>
      </c>
      <c r="U23" s="64">
        <v>9.2999999999999999E-2</v>
      </c>
      <c r="V23" s="64">
        <v>0.14000000000000001</v>
      </c>
    </row>
    <row r="24" spans="1:25" x14ac:dyDescent="0.25">
      <c r="A24" s="13">
        <f t="shared" si="0"/>
        <v>20.5</v>
      </c>
      <c r="B24" s="12" t="s">
        <v>49</v>
      </c>
      <c r="C24" s="12">
        <v>1E-3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U24" s="64">
        <v>0.16400000000000001</v>
      </c>
      <c r="V24" s="64">
        <v>0.22500000000000001</v>
      </c>
    </row>
    <row r="25" spans="1:25" x14ac:dyDescent="0.25">
      <c r="A25" s="13">
        <f t="shared" si="0"/>
        <v>21.5</v>
      </c>
      <c r="B25" s="12" t="s">
        <v>50</v>
      </c>
      <c r="C25" s="12">
        <v>1E-3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U25" s="64">
        <v>0.13800000000000001</v>
      </c>
      <c r="V25" s="64">
        <v>0.111</v>
      </c>
    </row>
    <row r="26" spans="1:25" x14ac:dyDescent="0.25">
      <c r="A26" s="13">
        <f t="shared" si="0"/>
        <v>22.5</v>
      </c>
      <c r="B26" s="12" t="s">
        <v>51</v>
      </c>
      <c r="C26" s="12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U26" s="64">
        <v>9.8000000000000004E-2</v>
      </c>
      <c r="V26" s="64">
        <v>5.2999999999999999E-2</v>
      </c>
    </row>
    <row r="27" spans="1:25" x14ac:dyDescent="0.25">
      <c r="A27" s="13">
        <f t="shared" si="0"/>
        <v>23.5</v>
      </c>
      <c r="B27" s="12" t="s">
        <v>52</v>
      </c>
      <c r="C27" s="12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U27" s="64">
        <v>5.0999999999999997E-2</v>
      </c>
      <c r="V27" s="64">
        <v>4.3999999999999997E-2</v>
      </c>
    </row>
    <row r="28" spans="1:25" x14ac:dyDescent="0.25">
      <c r="A28" s="11"/>
      <c r="B28" s="11" t="s">
        <v>53</v>
      </c>
      <c r="C28" s="17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U28" s="64">
        <v>0.05</v>
      </c>
      <c r="V28" s="64">
        <v>4.3999999999999997E-2</v>
      </c>
    </row>
    <row r="29" spans="1:25" x14ac:dyDescent="0.25">
      <c r="A29" s="11"/>
      <c r="B29" s="11"/>
      <c r="C29" s="17" t="s">
        <v>55</v>
      </c>
      <c r="D29" s="16">
        <f t="shared" ref="D29:S29" si="1">SUMPRODUCT(D4:D27,$A$4:$A$27)/D3</f>
        <v>7.5714285714285721</v>
      </c>
      <c r="E29" s="16">
        <f t="shared" si="1"/>
        <v>8.245901639344261</v>
      </c>
      <c r="F29" s="16">
        <f t="shared" si="1"/>
        <v>6.6381578947368434</v>
      </c>
      <c r="G29" s="16">
        <f t="shared" si="1"/>
        <v>5.0928571428571416</v>
      </c>
      <c r="H29" s="16">
        <f t="shared" si="1"/>
        <v>5.5622222222222213</v>
      </c>
      <c r="I29" s="16">
        <f t="shared" si="1"/>
        <v>11.144144144144143</v>
      </c>
      <c r="J29" s="16">
        <f t="shared" si="1"/>
        <v>13.981132075471699</v>
      </c>
      <c r="K29" s="16">
        <f t="shared" si="1"/>
        <v>7.8068181818181843</v>
      </c>
      <c r="L29" s="16">
        <f t="shared" si="1"/>
        <v>6.1818181818181817</v>
      </c>
      <c r="M29" s="16">
        <f t="shared" si="1"/>
        <v>7.8870967741935489</v>
      </c>
      <c r="N29" s="16">
        <f t="shared" si="1"/>
        <v>6.8813559322033901</v>
      </c>
      <c r="O29" s="16">
        <f t="shared" si="1"/>
        <v>6.0675675675675684</v>
      </c>
      <c r="P29" s="16">
        <f t="shared" si="1"/>
        <v>4.4444444444444446</v>
      </c>
      <c r="Q29" s="16">
        <f t="shared" si="1"/>
        <v>3.5666666666666669</v>
      </c>
      <c r="R29" s="16">
        <f t="shared" si="1"/>
        <v>4.7692307692307692</v>
      </c>
      <c r="S29" s="16">
        <f t="shared" si="1"/>
        <v>5.9583333333333339</v>
      </c>
      <c r="U29" s="64">
        <v>6.4000000000000001E-2</v>
      </c>
      <c r="V29" s="64">
        <v>6.2E-2</v>
      </c>
    </row>
    <row r="30" spans="1:25" x14ac:dyDescent="0.25">
      <c r="A30" s="11"/>
      <c r="B30" s="11"/>
      <c r="C30" s="11"/>
      <c r="U30" s="64">
        <v>5.5E-2</v>
      </c>
      <c r="V30" s="64">
        <v>5.8999999999999997E-2</v>
      </c>
    </row>
    <row r="31" spans="1:25" x14ac:dyDescent="0.25">
      <c r="A31" s="11"/>
      <c r="B31" s="11"/>
      <c r="U31" s="64">
        <v>3.5999999999999997E-2</v>
      </c>
      <c r="V31" s="64">
        <v>3.6999999999999998E-2</v>
      </c>
    </row>
    <row r="32" spans="1:25" x14ac:dyDescent="0.25">
      <c r="A32" s="20" t="s">
        <v>27</v>
      </c>
      <c r="B32" s="12" t="s">
        <v>97</v>
      </c>
      <c r="C32" s="12" t="s">
        <v>10</v>
      </c>
      <c r="D32" s="12" t="s">
        <v>11</v>
      </c>
      <c r="E32" s="12" t="s">
        <v>12</v>
      </c>
      <c r="F32" s="12" t="s">
        <v>13</v>
      </c>
      <c r="G32" s="12" t="s">
        <v>14</v>
      </c>
      <c r="H32" s="12" t="s">
        <v>15</v>
      </c>
      <c r="I32" s="12" t="s">
        <v>16</v>
      </c>
      <c r="J32" s="12" t="s">
        <v>17</v>
      </c>
      <c r="K32" s="12" t="s">
        <v>18</v>
      </c>
      <c r="L32" s="12" t="s">
        <v>19</v>
      </c>
      <c r="M32" s="12" t="s">
        <v>20</v>
      </c>
      <c r="N32" s="12" t="s">
        <v>21</v>
      </c>
      <c r="O32" s="12" t="s">
        <v>22</v>
      </c>
      <c r="P32" s="12" t="s">
        <v>23</v>
      </c>
      <c r="Q32" s="12" t="s">
        <v>24</v>
      </c>
      <c r="R32" s="12" t="s">
        <v>25</v>
      </c>
      <c r="S32" s="12" t="s">
        <v>26</v>
      </c>
      <c r="T32" s="12"/>
      <c r="U32" s="64">
        <v>2.7E-2</v>
      </c>
      <c r="V32" s="64">
        <v>2.7E-2</v>
      </c>
    </row>
    <row r="33" spans="1:22" x14ac:dyDescent="0.25">
      <c r="A33" s="12" t="s">
        <v>60</v>
      </c>
      <c r="B33" s="12" t="s">
        <v>28</v>
      </c>
      <c r="C33" s="12" t="s">
        <v>29</v>
      </c>
      <c r="D33" s="64">
        <v>1.4999999999999999E-2</v>
      </c>
      <c r="E33" s="64">
        <v>1.6E-2</v>
      </c>
      <c r="F33" s="64">
        <v>1.4999999999999999E-2</v>
      </c>
      <c r="G33" s="64">
        <v>2.4E-2</v>
      </c>
      <c r="H33" s="64">
        <v>7.4999999999999997E-2</v>
      </c>
      <c r="I33" s="64">
        <v>9.9000000000000005E-2</v>
      </c>
      <c r="J33" s="64">
        <v>8.8999999999999996E-2</v>
      </c>
      <c r="K33" s="64">
        <v>0.09</v>
      </c>
      <c r="L33" s="64">
        <v>9.4E-2</v>
      </c>
      <c r="M33" s="64">
        <v>0.14499999999999999</v>
      </c>
      <c r="N33" s="64">
        <v>0.13500000000000001</v>
      </c>
      <c r="O33" s="64">
        <v>8.7999999999999995E-2</v>
      </c>
      <c r="P33" s="64">
        <v>5.5E-2</v>
      </c>
      <c r="Q33" s="64">
        <v>2.1000000000000001E-2</v>
      </c>
      <c r="R33" s="64">
        <v>0.02</v>
      </c>
      <c r="S33" s="64">
        <v>1.7000000000000001E-2</v>
      </c>
      <c r="T33" s="13"/>
      <c r="U33" s="64">
        <v>1.2999999999999999E-2</v>
      </c>
      <c r="V33" s="64">
        <v>1.4999999999999999E-2</v>
      </c>
    </row>
    <row r="34" spans="1:22" x14ac:dyDescent="0.25">
      <c r="A34" s="13">
        <v>0.5</v>
      </c>
      <c r="B34" s="12" t="s">
        <v>30</v>
      </c>
      <c r="C34" s="12">
        <v>0.03</v>
      </c>
      <c r="D34" s="15">
        <v>2E-3</v>
      </c>
      <c r="E34" s="15">
        <v>2E-3</v>
      </c>
      <c r="F34" s="15">
        <v>1E-3</v>
      </c>
      <c r="G34" s="15">
        <v>2E-3</v>
      </c>
      <c r="H34" s="15">
        <v>3.0000000000000001E-3</v>
      </c>
      <c r="I34" s="15">
        <v>2E-3</v>
      </c>
      <c r="J34" s="15">
        <v>2E-3</v>
      </c>
      <c r="K34" s="15">
        <v>2E-3</v>
      </c>
      <c r="L34" s="15">
        <v>2E-3</v>
      </c>
      <c r="M34" s="15">
        <v>2E-3</v>
      </c>
      <c r="N34" s="15">
        <v>2E-3</v>
      </c>
      <c r="O34" s="15">
        <v>2E-3</v>
      </c>
      <c r="P34" s="15">
        <v>3.0000000000000001E-3</v>
      </c>
      <c r="Q34" s="15">
        <v>2E-3</v>
      </c>
      <c r="R34" s="15">
        <v>1E-3</v>
      </c>
      <c r="S34" s="15">
        <v>1E-3</v>
      </c>
      <c r="U34" s="64">
        <v>1.2999999999999999E-2</v>
      </c>
      <c r="V34" s="64">
        <v>1.2999999999999999E-2</v>
      </c>
    </row>
    <row r="35" spans="1:22" x14ac:dyDescent="0.25">
      <c r="A35" s="13">
        <v>1.5</v>
      </c>
      <c r="B35" s="12" t="s">
        <v>31</v>
      </c>
      <c r="C35" s="12">
        <v>7.3999999999999996E-2</v>
      </c>
      <c r="D35" s="15">
        <v>3.0000000000000001E-3</v>
      </c>
      <c r="E35" s="15">
        <v>2E-3</v>
      </c>
      <c r="F35" s="15">
        <v>2E-3</v>
      </c>
      <c r="G35" s="15">
        <v>3.0000000000000001E-3</v>
      </c>
      <c r="H35" s="15">
        <v>5.0000000000000001E-3</v>
      </c>
      <c r="I35" s="15">
        <v>4.0000000000000001E-3</v>
      </c>
      <c r="J35" s="15">
        <v>5.0000000000000001E-3</v>
      </c>
      <c r="K35" s="15">
        <v>7.0000000000000001E-3</v>
      </c>
      <c r="L35" s="15">
        <v>8.9999999999999993E-3</v>
      </c>
      <c r="M35" s="15">
        <v>8.0000000000000002E-3</v>
      </c>
      <c r="N35" s="15">
        <v>7.0000000000000001E-3</v>
      </c>
      <c r="O35" s="15">
        <v>5.0000000000000001E-3</v>
      </c>
      <c r="P35" s="15">
        <v>7.0000000000000001E-3</v>
      </c>
      <c r="Q35" s="15">
        <v>2E-3</v>
      </c>
      <c r="R35" s="15">
        <v>2E-3</v>
      </c>
      <c r="S35" s="15">
        <v>2E-3</v>
      </c>
      <c r="U35" s="64">
        <v>1.6E-2</v>
      </c>
      <c r="V35" s="64">
        <v>1.2E-2</v>
      </c>
    </row>
    <row r="36" spans="1:22" x14ac:dyDescent="0.25">
      <c r="A36" s="13">
        <f>A35+1</f>
        <v>2.5</v>
      </c>
      <c r="B36" s="12" t="s">
        <v>32</v>
      </c>
      <c r="C36" s="12">
        <v>0.104</v>
      </c>
      <c r="D36" s="15">
        <v>3.0000000000000001E-3</v>
      </c>
      <c r="E36" s="15">
        <v>3.0000000000000001E-3</v>
      </c>
      <c r="F36" s="15">
        <v>3.0000000000000001E-3</v>
      </c>
      <c r="G36" s="15">
        <v>3.0000000000000001E-3</v>
      </c>
      <c r="H36" s="15">
        <v>6.0000000000000001E-3</v>
      </c>
      <c r="I36" s="15">
        <v>7.0000000000000001E-3</v>
      </c>
      <c r="J36" s="15">
        <v>8.0000000000000002E-3</v>
      </c>
      <c r="K36" s="15">
        <v>0.01</v>
      </c>
      <c r="L36" s="15">
        <v>1.2999999999999999E-2</v>
      </c>
      <c r="M36" s="15">
        <v>1.2999999999999999E-2</v>
      </c>
      <c r="N36" s="15">
        <v>0.01</v>
      </c>
      <c r="O36" s="15">
        <v>8.0000000000000002E-3</v>
      </c>
      <c r="P36" s="15">
        <v>0.01</v>
      </c>
      <c r="Q36" s="15">
        <v>3.0000000000000001E-3</v>
      </c>
      <c r="R36" s="15">
        <v>3.0000000000000001E-3</v>
      </c>
      <c r="S36" s="15">
        <v>2E-3</v>
      </c>
    </row>
    <row r="37" spans="1:22" x14ac:dyDescent="0.25">
      <c r="A37" s="13">
        <f t="shared" ref="A37:A57" si="2">A36+1</f>
        <v>3.5</v>
      </c>
      <c r="B37" s="12" t="s">
        <v>33</v>
      </c>
      <c r="C37" s="12">
        <v>0.11799999999999999</v>
      </c>
      <c r="D37" s="15">
        <v>2E-3</v>
      </c>
      <c r="E37" s="15">
        <v>2E-3</v>
      </c>
      <c r="F37" s="15">
        <v>2E-3</v>
      </c>
      <c r="G37" s="15">
        <v>3.0000000000000001E-3</v>
      </c>
      <c r="H37" s="15">
        <v>7.0000000000000001E-3</v>
      </c>
      <c r="I37" s="15">
        <v>7.0000000000000001E-3</v>
      </c>
      <c r="J37" s="15">
        <v>6.0000000000000001E-3</v>
      </c>
      <c r="K37" s="15">
        <v>0.01</v>
      </c>
      <c r="L37" s="15">
        <v>1.4999999999999999E-2</v>
      </c>
      <c r="M37" s="15">
        <v>1.7000000000000001E-2</v>
      </c>
      <c r="N37" s="15">
        <v>1.2999999999999999E-2</v>
      </c>
      <c r="O37" s="15">
        <v>1.4E-2</v>
      </c>
      <c r="P37" s="15">
        <v>8.9999999999999993E-3</v>
      </c>
      <c r="Q37" s="15">
        <v>4.0000000000000001E-3</v>
      </c>
      <c r="R37" s="15">
        <v>4.0000000000000001E-3</v>
      </c>
      <c r="S37" s="15">
        <v>3.0000000000000001E-3</v>
      </c>
    </row>
    <row r="38" spans="1:22" x14ac:dyDescent="0.25">
      <c r="A38" s="13">
        <f t="shared" si="2"/>
        <v>4.5</v>
      </c>
      <c r="B38" s="12" t="s">
        <v>34</v>
      </c>
      <c r="C38" s="12">
        <v>0.12</v>
      </c>
      <c r="D38" s="15">
        <v>2E-3</v>
      </c>
      <c r="E38" s="15">
        <v>1E-3</v>
      </c>
      <c r="F38" s="15">
        <v>1E-3</v>
      </c>
      <c r="G38" s="15">
        <v>1E-3</v>
      </c>
      <c r="H38" s="15">
        <v>8.9999999999999993E-3</v>
      </c>
      <c r="I38" s="15">
        <v>0.01</v>
      </c>
      <c r="J38" s="15">
        <v>8.0000000000000002E-3</v>
      </c>
      <c r="K38" s="15">
        <v>1.2E-2</v>
      </c>
      <c r="L38" s="15">
        <v>1.4999999999999999E-2</v>
      </c>
      <c r="M38" s="15">
        <v>1.6E-2</v>
      </c>
      <c r="N38" s="15">
        <v>1.4999999999999999E-2</v>
      </c>
      <c r="O38" s="15">
        <v>1.2999999999999999E-2</v>
      </c>
      <c r="P38" s="15">
        <v>8.9999999999999993E-3</v>
      </c>
      <c r="Q38" s="15">
        <v>3.0000000000000001E-3</v>
      </c>
      <c r="R38" s="15">
        <v>2E-3</v>
      </c>
      <c r="S38" s="15">
        <v>2E-3</v>
      </c>
    </row>
    <row r="39" spans="1:22" x14ac:dyDescent="0.25">
      <c r="A39" s="13">
        <f t="shared" si="2"/>
        <v>5.5</v>
      </c>
      <c r="B39" s="12" t="s">
        <v>35</v>
      </c>
      <c r="C39" s="12">
        <v>0.111</v>
      </c>
      <c r="D39" s="15">
        <v>2E-3</v>
      </c>
      <c r="E39" s="15">
        <v>1E-3</v>
      </c>
      <c r="F39" s="15">
        <v>1E-3</v>
      </c>
      <c r="G39" s="15">
        <v>1E-3</v>
      </c>
      <c r="H39" s="15">
        <v>8.0000000000000002E-3</v>
      </c>
      <c r="I39" s="15">
        <v>8.9999999999999993E-3</v>
      </c>
      <c r="J39" s="15">
        <v>0.01</v>
      </c>
      <c r="K39" s="15">
        <v>0.01</v>
      </c>
      <c r="L39" s="15">
        <v>1.2E-2</v>
      </c>
      <c r="M39" s="15">
        <v>1.4999999999999999E-2</v>
      </c>
      <c r="N39" s="15">
        <v>1.7000000000000001E-2</v>
      </c>
      <c r="O39" s="15">
        <v>1.2999999999999999E-2</v>
      </c>
      <c r="P39" s="15">
        <v>6.0000000000000001E-3</v>
      </c>
      <c r="Q39" s="15">
        <v>2E-3</v>
      </c>
      <c r="R39" s="15">
        <v>2E-3</v>
      </c>
      <c r="S39" s="15">
        <v>2E-3</v>
      </c>
    </row>
    <row r="40" spans="1:22" x14ac:dyDescent="0.25">
      <c r="A40" s="13">
        <f t="shared" si="2"/>
        <v>6.5</v>
      </c>
      <c r="B40" s="12" t="s">
        <v>36</v>
      </c>
      <c r="C40" s="12">
        <v>0.10100000000000001</v>
      </c>
      <c r="D40" s="15">
        <v>1E-3</v>
      </c>
      <c r="E40" s="15">
        <v>1E-3</v>
      </c>
      <c r="F40" s="15">
        <v>1E-3</v>
      </c>
      <c r="G40" s="15">
        <v>2E-3</v>
      </c>
      <c r="H40" s="15">
        <v>6.0000000000000001E-3</v>
      </c>
      <c r="I40" s="15">
        <v>1.0999999999999999E-2</v>
      </c>
      <c r="J40" s="15">
        <v>1.0999999999999999E-2</v>
      </c>
      <c r="K40" s="15">
        <v>8.0000000000000002E-3</v>
      </c>
      <c r="L40" s="15">
        <v>0.01</v>
      </c>
      <c r="M40" s="15">
        <v>1.4E-2</v>
      </c>
      <c r="N40" s="15">
        <v>1.7999999999999999E-2</v>
      </c>
      <c r="O40" s="15">
        <v>0.01</v>
      </c>
      <c r="P40" s="15">
        <v>3.0000000000000001E-3</v>
      </c>
      <c r="Q40" s="15">
        <v>2E-3</v>
      </c>
      <c r="R40" s="15">
        <v>2E-3</v>
      </c>
      <c r="S40" s="15">
        <v>1E-3</v>
      </c>
    </row>
    <row r="41" spans="1:22" x14ac:dyDescent="0.25">
      <c r="A41" s="13">
        <f t="shared" si="2"/>
        <v>7.5</v>
      </c>
      <c r="B41" s="12" t="s">
        <v>37</v>
      </c>
      <c r="C41" s="12">
        <v>8.8999999999999996E-2</v>
      </c>
      <c r="D41" s="15">
        <v>1E-3</v>
      </c>
      <c r="E41" s="15">
        <v>1E-3</v>
      </c>
      <c r="F41" s="15">
        <v>1E-3</v>
      </c>
      <c r="G41" s="15">
        <v>2E-3</v>
      </c>
      <c r="H41" s="15">
        <v>5.0000000000000001E-3</v>
      </c>
      <c r="I41" s="15">
        <v>1.2E-2</v>
      </c>
      <c r="J41" s="15">
        <v>8.9999999999999993E-3</v>
      </c>
      <c r="K41" s="15">
        <v>7.0000000000000001E-3</v>
      </c>
      <c r="L41" s="15">
        <v>6.0000000000000001E-3</v>
      </c>
      <c r="M41" s="15">
        <v>1.6E-2</v>
      </c>
      <c r="N41" s="15">
        <v>1.6E-2</v>
      </c>
      <c r="O41" s="15">
        <v>8.0000000000000002E-3</v>
      </c>
      <c r="P41" s="15">
        <v>1E-3</v>
      </c>
      <c r="Q41" s="15">
        <v>1E-3</v>
      </c>
      <c r="R41" s="15">
        <v>2E-3</v>
      </c>
      <c r="S41" s="15">
        <v>2E-3</v>
      </c>
    </row>
    <row r="42" spans="1:22" x14ac:dyDescent="0.25">
      <c r="A42" s="13">
        <f t="shared" si="2"/>
        <v>8.5</v>
      </c>
      <c r="B42" s="12" t="s">
        <v>38</v>
      </c>
      <c r="C42" s="12">
        <v>6.6000000000000003E-2</v>
      </c>
      <c r="D42" s="15">
        <v>1E-3</v>
      </c>
      <c r="E42" s="15">
        <v>1E-3</v>
      </c>
      <c r="F42" s="15">
        <v>1E-3</v>
      </c>
      <c r="G42" s="15">
        <v>1E-3</v>
      </c>
      <c r="H42" s="15">
        <v>5.0000000000000001E-3</v>
      </c>
      <c r="I42" s="15">
        <v>0.01</v>
      </c>
      <c r="J42" s="15">
        <v>7.0000000000000001E-3</v>
      </c>
      <c r="K42" s="15">
        <v>6.0000000000000001E-3</v>
      </c>
      <c r="L42" s="15">
        <v>4.0000000000000001E-3</v>
      </c>
      <c r="M42" s="15">
        <v>1.2999999999999999E-2</v>
      </c>
      <c r="N42" s="15">
        <v>1.0999999999999999E-2</v>
      </c>
      <c r="O42" s="15">
        <v>5.0000000000000001E-3</v>
      </c>
      <c r="P42" s="15">
        <v>1E-3</v>
      </c>
      <c r="Q42" s="15">
        <v>0</v>
      </c>
      <c r="R42" s="15">
        <v>1E-3</v>
      </c>
      <c r="S42" s="15">
        <v>0</v>
      </c>
    </row>
    <row r="43" spans="1:22" x14ac:dyDescent="0.25">
      <c r="A43" s="13">
        <f t="shared" si="2"/>
        <v>9.5</v>
      </c>
      <c r="B43" s="12" t="s">
        <v>39</v>
      </c>
      <c r="C43" s="12">
        <v>4.9000000000000002E-2</v>
      </c>
      <c r="D43" s="15">
        <v>0</v>
      </c>
      <c r="E43" s="15">
        <v>1E-3</v>
      </c>
      <c r="F43" s="15">
        <v>0</v>
      </c>
      <c r="G43" s="15">
        <v>1E-3</v>
      </c>
      <c r="H43" s="15">
        <v>5.0000000000000001E-3</v>
      </c>
      <c r="I43" s="15">
        <v>7.0000000000000001E-3</v>
      </c>
      <c r="J43" s="15">
        <v>6.0000000000000001E-3</v>
      </c>
      <c r="K43" s="15">
        <v>4.0000000000000001E-3</v>
      </c>
      <c r="L43" s="15">
        <v>2E-3</v>
      </c>
      <c r="M43" s="15">
        <v>8.9999999999999993E-3</v>
      </c>
      <c r="N43" s="15">
        <v>8.0000000000000002E-3</v>
      </c>
      <c r="O43" s="15">
        <v>2E-3</v>
      </c>
      <c r="P43" s="15">
        <v>2E-3</v>
      </c>
      <c r="Q43" s="15">
        <v>0</v>
      </c>
      <c r="R43" s="15">
        <v>1E-3</v>
      </c>
      <c r="S43" s="15">
        <v>0</v>
      </c>
    </row>
    <row r="44" spans="1:22" x14ac:dyDescent="0.25">
      <c r="A44" s="13">
        <f t="shared" si="2"/>
        <v>10.5</v>
      </c>
      <c r="B44" s="12" t="s">
        <v>40</v>
      </c>
      <c r="C44" s="12">
        <v>4.2000000000000003E-2</v>
      </c>
      <c r="D44" s="15">
        <v>0</v>
      </c>
      <c r="E44" s="15">
        <v>1E-3</v>
      </c>
      <c r="F44" s="15">
        <v>0</v>
      </c>
      <c r="G44" s="15">
        <v>0</v>
      </c>
      <c r="H44" s="15">
        <v>4.0000000000000001E-3</v>
      </c>
      <c r="I44" s="15">
        <v>6.0000000000000001E-3</v>
      </c>
      <c r="J44" s="15">
        <v>5.0000000000000001E-3</v>
      </c>
      <c r="K44" s="15">
        <v>5.0000000000000001E-3</v>
      </c>
      <c r="L44" s="15">
        <v>1E-3</v>
      </c>
      <c r="M44" s="15">
        <v>8.9999999999999993E-3</v>
      </c>
      <c r="N44" s="15">
        <v>7.0000000000000001E-3</v>
      </c>
      <c r="O44" s="15">
        <v>2E-3</v>
      </c>
      <c r="P44" s="15">
        <v>1E-3</v>
      </c>
      <c r="Q44" s="15">
        <v>0</v>
      </c>
      <c r="R44" s="15">
        <v>0</v>
      </c>
      <c r="S44" s="15">
        <v>0</v>
      </c>
    </row>
    <row r="45" spans="1:22" x14ac:dyDescent="0.25">
      <c r="A45" s="13">
        <f t="shared" si="2"/>
        <v>11.5</v>
      </c>
      <c r="B45" s="12" t="s">
        <v>41</v>
      </c>
      <c r="C45" s="12">
        <v>2.9000000000000001E-2</v>
      </c>
      <c r="D45" s="15">
        <v>0</v>
      </c>
      <c r="E45" s="15">
        <v>0</v>
      </c>
      <c r="F45" s="15">
        <v>0</v>
      </c>
      <c r="G45" s="15">
        <v>1E-3</v>
      </c>
      <c r="H45" s="15">
        <v>3.0000000000000001E-3</v>
      </c>
      <c r="I45" s="15">
        <v>5.0000000000000001E-3</v>
      </c>
      <c r="J45" s="15">
        <v>3.0000000000000001E-3</v>
      </c>
      <c r="K45" s="15">
        <v>3.0000000000000001E-3</v>
      </c>
      <c r="L45" s="15">
        <v>1E-3</v>
      </c>
      <c r="M45" s="15">
        <v>6.0000000000000001E-3</v>
      </c>
      <c r="N45" s="15">
        <v>4.0000000000000001E-3</v>
      </c>
      <c r="O45" s="15">
        <v>2E-3</v>
      </c>
      <c r="P45" s="15">
        <v>1E-3</v>
      </c>
      <c r="Q45" s="15">
        <v>0</v>
      </c>
      <c r="R45" s="15">
        <v>0</v>
      </c>
      <c r="S45" s="15">
        <v>0</v>
      </c>
    </row>
    <row r="46" spans="1:22" x14ac:dyDescent="0.25">
      <c r="A46" s="13">
        <f t="shared" si="2"/>
        <v>12.5</v>
      </c>
      <c r="B46" s="12" t="s">
        <v>42</v>
      </c>
      <c r="C46" s="12">
        <v>2.1000000000000001E-2</v>
      </c>
      <c r="D46" s="15">
        <v>0</v>
      </c>
      <c r="E46" s="15">
        <v>0</v>
      </c>
      <c r="F46" s="15">
        <v>0</v>
      </c>
      <c r="G46" s="15">
        <v>1E-3</v>
      </c>
      <c r="H46" s="15">
        <v>2E-3</v>
      </c>
      <c r="I46" s="15">
        <v>4.0000000000000001E-3</v>
      </c>
      <c r="J46" s="15">
        <v>2E-3</v>
      </c>
      <c r="K46" s="15">
        <v>2E-3</v>
      </c>
      <c r="L46" s="15">
        <v>1E-3</v>
      </c>
      <c r="M46" s="15">
        <v>3.0000000000000001E-3</v>
      </c>
      <c r="N46" s="15">
        <v>3.0000000000000001E-3</v>
      </c>
      <c r="O46" s="15">
        <v>1E-3</v>
      </c>
      <c r="P46" s="15">
        <v>1E-3</v>
      </c>
      <c r="Q46" s="15">
        <v>0</v>
      </c>
      <c r="R46" s="15">
        <v>0</v>
      </c>
      <c r="S46" s="15">
        <v>0</v>
      </c>
    </row>
    <row r="47" spans="1:22" x14ac:dyDescent="0.25">
      <c r="A47" s="13">
        <f t="shared" si="2"/>
        <v>13.5</v>
      </c>
      <c r="B47" s="12" t="s">
        <v>43</v>
      </c>
      <c r="C47" s="12">
        <v>1.4999999999999999E-2</v>
      </c>
      <c r="D47" s="15">
        <v>0</v>
      </c>
      <c r="E47" s="15">
        <v>0</v>
      </c>
      <c r="F47" s="15">
        <v>0</v>
      </c>
      <c r="G47" s="15">
        <v>1E-3</v>
      </c>
      <c r="H47" s="15">
        <v>2E-3</v>
      </c>
      <c r="I47" s="15">
        <v>3.0000000000000001E-3</v>
      </c>
      <c r="J47" s="15">
        <v>2E-3</v>
      </c>
      <c r="K47" s="15">
        <v>2E-3</v>
      </c>
      <c r="L47" s="15">
        <v>1E-3</v>
      </c>
      <c r="M47" s="15">
        <v>1E-3</v>
      </c>
      <c r="N47" s="15">
        <v>2E-3</v>
      </c>
      <c r="O47" s="15">
        <v>0</v>
      </c>
      <c r="P47" s="15">
        <v>1E-3</v>
      </c>
      <c r="Q47" s="15">
        <v>0</v>
      </c>
      <c r="R47" s="15">
        <v>0</v>
      </c>
      <c r="S47" s="15">
        <v>0</v>
      </c>
    </row>
    <row r="48" spans="1:22" x14ac:dyDescent="0.25">
      <c r="A48" s="13">
        <f t="shared" si="2"/>
        <v>14.5</v>
      </c>
      <c r="B48" s="12" t="s">
        <v>44</v>
      </c>
      <c r="C48" s="12">
        <v>8.9999999999999993E-3</v>
      </c>
      <c r="D48" s="15">
        <v>0</v>
      </c>
      <c r="E48" s="15">
        <v>0</v>
      </c>
      <c r="F48" s="15">
        <v>0</v>
      </c>
      <c r="G48" s="15">
        <v>1E-3</v>
      </c>
      <c r="H48" s="15">
        <v>2E-3</v>
      </c>
      <c r="I48" s="15">
        <v>1E-3</v>
      </c>
      <c r="J48" s="15">
        <v>1E-3</v>
      </c>
      <c r="K48" s="15">
        <v>1E-3</v>
      </c>
      <c r="L48" s="15">
        <v>1E-3</v>
      </c>
      <c r="M48" s="15">
        <v>1E-3</v>
      </c>
      <c r="N48" s="15">
        <v>1E-3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</row>
    <row r="49" spans="1:19" x14ac:dyDescent="0.25">
      <c r="A49" s="13">
        <f t="shared" si="2"/>
        <v>15.5</v>
      </c>
      <c r="B49" s="12" t="s">
        <v>45</v>
      </c>
      <c r="C49" s="12">
        <v>7.0000000000000001E-3</v>
      </c>
      <c r="D49" s="15">
        <v>0</v>
      </c>
      <c r="E49" s="15">
        <v>0</v>
      </c>
      <c r="F49" s="15">
        <v>0</v>
      </c>
      <c r="G49" s="15">
        <v>0</v>
      </c>
      <c r="H49" s="15">
        <v>2E-3</v>
      </c>
      <c r="I49" s="15">
        <v>1E-3</v>
      </c>
      <c r="J49" s="15">
        <v>1E-3</v>
      </c>
      <c r="K49" s="15">
        <v>0</v>
      </c>
      <c r="L49" s="15">
        <v>0</v>
      </c>
      <c r="M49" s="15">
        <v>1E-3</v>
      </c>
      <c r="N49" s="15">
        <v>1E-3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</row>
    <row r="50" spans="1:19" x14ac:dyDescent="0.25">
      <c r="A50" s="13">
        <f t="shared" si="2"/>
        <v>16.5</v>
      </c>
      <c r="B50" s="12" t="s">
        <v>46</v>
      </c>
      <c r="C50" s="12">
        <v>5.0000000000000001E-3</v>
      </c>
      <c r="D50" s="15">
        <v>0</v>
      </c>
      <c r="E50" s="15">
        <v>0</v>
      </c>
      <c r="F50" s="15">
        <v>0</v>
      </c>
      <c r="G50" s="15">
        <v>0</v>
      </c>
      <c r="H50" s="15">
        <v>1E-3</v>
      </c>
      <c r="I50" s="15">
        <v>1E-3</v>
      </c>
      <c r="J50" s="15">
        <v>1E-3</v>
      </c>
      <c r="K50" s="15">
        <v>0</v>
      </c>
      <c r="L50" s="15">
        <v>0</v>
      </c>
      <c r="M50" s="15">
        <v>0</v>
      </c>
      <c r="N50" s="15">
        <v>1E-3</v>
      </c>
      <c r="O50" s="15">
        <v>1E-3</v>
      </c>
      <c r="P50" s="15">
        <v>0</v>
      </c>
      <c r="Q50" s="15">
        <v>0</v>
      </c>
      <c r="R50" s="15">
        <v>0</v>
      </c>
      <c r="S50" s="15">
        <v>0</v>
      </c>
    </row>
    <row r="51" spans="1:19" x14ac:dyDescent="0.25">
      <c r="A51" s="13">
        <f t="shared" si="2"/>
        <v>17.5</v>
      </c>
      <c r="B51" s="12" t="s">
        <v>47</v>
      </c>
      <c r="C51" s="12">
        <v>2E-3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</row>
    <row r="52" spans="1:19" x14ac:dyDescent="0.25">
      <c r="A52" s="13">
        <f t="shared" si="2"/>
        <v>18.5</v>
      </c>
      <c r="B52" s="12" t="s">
        <v>48</v>
      </c>
      <c r="C52" s="12">
        <v>1E-3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</row>
    <row r="53" spans="1:19" x14ac:dyDescent="0.25">
      <c r="A53" s="13">
        <f t="shared" si="2"/>
        <v>19.5</v>
      </c>
      <c r="B53" s="12" t="s">
        <v>49</v>
      </c>
      <c r="C53" s="12">
        <v>1E-3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</row>
    <row r="54" spans="1:19" x14ac:dyDescent="0.25">
      <c r="A54" s="13">
        <f t="shared" si="2"/>
        <v>20.5</v>
      </c>
      <c r="B54" s="12" t="s">
        <v>50</v>
      </c>
      <c r="C54" s="12">
        <v>1E-3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</row>
    <row r="55" spans="1:19" x14ac:dyDescent="0.25">
      <c r="A55" s="13">
        <f t="shared" si="2"/>
        <v>21.5</v>
      </c>
      <c r="B55" s="12" t="s">
        <v>51</v>
      </c>
      <c r="C55" s="12">
        <v>1E-3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</row>
    <row r="56" spans="1:19" x14ac:dyDescent="0.25">
      <c r="A56" s="13">
        <f t="shared" si="2"/>
        <v>22.5</v>
      </c>
      <c r="B56" s="12" t="s">
        <v>52</v>
      </c>
      <c r="C56" s="12">
        <v>1E-3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</row>
    <row r="57" spans="1:19" x14ac:dyDescent="0.25">
      <c r="A57" s="13">
        <f t="shared" si="2"/>
        <v>23.5</v>
      </c>
      <c r="B57" s="12" t="s">
        <v>53</v>
      </c>
      <c r="C57" s="12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</row>
    <row r="58" spans="1:19" x14ac:dyDescent="0.25">
      <c r="B58" s="11"/>
      <c r="C58" s="17" t="s">
        <v>54</v>
      </c>
      <c r="D58" s="13">
        <f t="shared" ref="D58:S58" si="3">RANK(D33,$D$33:$S$33)</f>
        <v>15</v>
      </c>
      <c r="E58" s="13">
        <f t="shared" si="3"/>
        <v>14</v>
      </c>
      <c r="F58" s="13">
        <f t="shared" si="3"/>
        <v>15</v>
      </c>
      <c r="G58" s="13">
        <f t="shared" si="3"/>
        <v>10</v>
      </c>
      <c r="H58" s="13">
        <f t="shared" si="3"/>
        <v>8</v>
      </c>
      <c r="I58" s="13">
        <f t="shared" si="3"/>
        <v>3</v>
      </c>
      <c r="J58" s="13">
        <f t="shared" si="3"/>
        <v>6</v>
      </c>
      <c r="K58" s="13">
        <f t="shared" si="3"/>
        <v>5</v>
      </c>
      <c r="L58" s="13">
        <f t="shared" si="3"/>
        <v>4</v>
      </c>
      <c r="M58" s="13">
        <f t="shared" si="3"/>
        <v>1</v>
      </c>
      <c r="N58" s="13">
        <f t="shared" si="3"/>
        <v>2</v>
      </c>
      <c r="O58" s="13">
        <f t="shared" si="3"/>
        <v>7</v>
      </c>
      <c r="P58" s="13">
        <f t="shared" si="3"/>
        <v>9</v>
      </c>
      <c r="Q58" s="13">
        <f t="shared" si="3"/>
        <v>11</v>
      </c>
      <c r="R58" s="13">
        <f t="shared" si="3"/>
        <v>12</v>
      </c>
      <c r="S58" s="13">
        <f t="shared" si="3"/>
        <v>13</v>
      </c>
    </row>
    <row r="59" spans="1:19" x14ac:dyDescent="0.25">
      <c r="B59" s="11"/>
      <c r="C59" s="17" t="s">
        <v>55</v>
      </c>
      <c r="D59" s="16">
        <f t="shared" ref="D59:S59" si="4">SUMPRODUCT(D34:D57,$A$4:$A$27)/D33</f>
        <v>4.166666666666667</v>
      </c>
      <c r="E59" s="16">
        <f t="shared" si="4"/>
        <v>4.4374999999999991</v>
      </c>
      <c r="F59" s="16">
        <f t="shared" si="4"/>
        <v>3.3666666666666667</v>
      </c>
      <c r="G59" s="16">
        <f t="shared" si="4"/>
        <v>5.479166666666667</v>
      </c>
      <c r="H59" s="16">
        <f t="shared" si="4"/>
        <v>6.7266666666666675</v>
      </c>
      <c r="I59" s="16">
        <f t="shared" si="4"/>
        <v>7.2121212121212102</v>
      </c>
      <c r="J59" s="16">
        <f t="shared" si="4"/>
        <v>6.5337078651685383</v>
      </c>
      <c r="K59" s="16">
        <f t="shared" si="4"/>
        <v>5.8611111111111107</v>
      </c>
      <c r="L59" s="16">
        <f t="shared" si="4"/>
        <v>4.877659574468086</v>
      </c>
      <c r="M59" s="16">
        <f t="shared" si="4"/>
        <v>6.2827586206896546</v>
      </c>
      <c r="N59" s="16">
        <f t="shared" si="4"/>
        <v>6.5185185185185173</v>
      </c>
      <c r="O59" s="16">
        <f t="shared" si="4"/>
        <v>5.3068181818181834</v>
      </c>
      <c r="P59" s="16">
        <f t="shared" si="4"/>
        <v>4.4454545454545462</v>
      </c>
      <c r="Q59" s="16">
        <f t="shared" si="4"/>
        <v>3.3571428571428572</v>
      </c>
      <c r="R59" s="16">
        <f t="shared" si="4"/>
        <v>4.5499999999999989</v>
      </c>
      <c r="S59" s="16">
        <f t="shared" si="4"/>
        <v>3.5588235294117649</v>
      </c>
    </row>
    <row r="62" spans="1:19" x14ac:dyDescent="0.25">
      <c r="B62" s="12"/>
      <c r="C62" s="12" t="s">
        <v>58</v>
      </c>
      <c r="D62" s="12">
        <v>0</v>
      </c>
      <c r="E62" s="12">
        <f>D62+22.5</f>
        <v>22.5</v>
      </c>
      <c r="F62" s="12">
        <f t="shared" ref="F62:S62" si="5">E62+22.5</f>
        <v>45</v>
      </c>
      <c r="G62" s="12">
        <f t="shared" si="5"/>
        <v>67.5</v>
      </c>
      <c r="H62" s="12">
        <f t="shared" si="5"/>
        <v>90</v>
      </c>
      <c r="I62" s="12">
        <f t="shared" si="5"/>
        <v>112.5</v>
      </c>
      <c r="J62" s="12">
        <f t="shared" si="5"/>
        <v>135</v>
      </c>
      <c r="K62" s="12">
        <f t="shared" si="5"/>
        <v>157.5</v>
      </c>
      <c r="L62" s="12">
        <f t="shared" si="5"/>
        <v>180</v>
      </c>
      <c r="M62" s="12">
        <f t="shared" si="5"/>
        <v>202.5</v>
      </c>
      <c r="N62" s="12">
        <f t="shared" si="5"/>
        <v>225</v>
      </c>
      <c r="O62" s="12">
        <f t="shared" si="5"/>
        <v>247.5</v>
      </c>
      <c r="P62" s="12">
        <f t="shared" si="5"/>
        <v>270</v>
      </c>
      <c r="Q62" s="12">
        <f t="shared" si="5"/>
        <v>292.5</v>
      </c>
      <c r="R62" s="12">
        <f t="shared" si="5"/>
        <v>315</v>
      </c>
      <c r="S62" s="12">
        <f t="shared" si="5"/>
        <v>337.5</v>
      </c>
    </row>
    <row r="63" spans="1:19" x14ac:dyDescent="0.25">
      <c r="B63" s="12" t="s">
        <v>57</v>
      </c>
      <c r="C63" s="12" t="s">
        <v>3</v>
      </c>
      <c r="D63" s="14">
        <f t="shared" ref="D63:K63" si="6">-SIN(D62*PI()/180)</f>
        <v>0</v>
      </c>
      <c r="E63" s="14">
        <f t="shared" si="6"/>
        <v>-0.38268343236508978</v>
      </c>
      <c r="F63" s="14">
        <f t="shared" si="6"/>
        <v>-0.70710678118654746</v>
      </c>
      <c r="G63" s="14">
        <f t="shared" si="6"/>
        <v>-0.92387953251128674</v>
      </c>
      <c r="H63" s="14">
        <f t="shared" si="6"/>
        <v>-1</v>
      </c>
      <c r="I63" s="14">
        <f t="shared" si="6"/>
        <v>-0.92387953251128674</v>
      </c>
      <c r="J63" s="14">
        <f t="shared" si="6"/>
        <v>-0.70710678118654757</v>
      </c>
      <c r="K63" s="14">
        <f t="shared" si="6"/>
        <v>-0.38268343236508989</v>
      </c>
      <c r="L63" s="14">
        <v>0</v>
      </c>
      <c r="M63" s="14">
        <f t="shared" ref="M63:S63" si="7">-SIN(M62*PI()/180)</f>
        <v>0.38268343236508923</v>
      </c>
      <c r="N63" s="14">
        <f t="shared" si="7"/>
        <v>0.70710678118654746</v>
      </c>
      <c r="O63" s="14">
        <f t="shared" si="7"/>
        <v>0.92387953251128685</v>
      </c>
      <c r="P63" s="14">
        <f t="shared" si="7"/>
        <v>1</v>
      </c>
      <c r="Q63" s="14">
        <f t="shared" si="7"/>
        <v>0.92387953251128663</v>
      </c>
      <c r="R63" s="14">
        <f t="shared" si="7"/>
        <v>0.70710678118654768</v>
      </c>
      <c r="S63" s="14">
        <f t="shared" si="7"/>
        <v>0.38268343236508956</v>
      </c>
    </row>
    <row r="64" spans="1:19" x14ac:dyDescent="0.25">
      <c r="B64" s="12"/>
      <c r="C64" s="12" t="s">
        <v>4</v>
      </c>
      <c r="D64" s="14">
        <f>-COS(D62*PI()/180)</f>
        <v>-1</v>
      </c>
      <c r="E64" s="14">
        <f>-COS(E62*PI()/180)</f>
        <v>-0.92387953251128674</v>
      </c>
      <c r="F64" s="14">
        <f>-COS(F62*PI()/180)</f>
        <v>-0.70710678118654757</v>
      </c>
      <c r="G64" s="14">
        <f>-COS(G62*PI()/180)</f>
        <v>-0.38268343236508984</v>
      </c>
      <c r="H64" s="14">
        <v>0</v>
      </c>
      <c r="I64" s="14">
        <f t="shared" ref="I64:O64" si="8">-COS(I62*PI()/180)</f>
        <v>0.38268343236508973</v>
      </c>
      <c r="J64" s="14">
        <f t="shared" si="8"/>
        <v>0.70710678118654746</v>
      </c>
      <c r="K64" s="14">
        <f t="shared" si="8"/>
        <v>0.92387953251128674</v>
      </c>
      <c r="L64" s="14">
        <f t="shared" si="8"/>
        <v>1</v>
      </c>
      <c r="M64" s="14">
        <f t="shared" si="8"/>
        <v>0.92387953251128696</v>
      </c>
      <c r="N64" s="14">
        <f t="shared" si="8"/>
        <v>0.70710678118654768</v>
      </c>
      <c r="O64" s="14">
        <f t="shared" si="8"/>
        <v>0.3826834323650895</v>
      </c>
      <c r="P64" s="14">
        <v>0</v>
      </c>
      <c r="Q64" s="14">
        <f>-COS(Q62*PI()/180)</f>
        <v>-0.38268343236509</v>
      </c>
      <c r="R64" s="14">
        <f>-COS(R62*PI()/180)</f>
        <v>-0.70710678118654735</v>
      </c>
      <c r="S64" s="14">
        <f>-COS(S62*PI()/180)</f>
        <v>-0.92387953251128685</v>
      </c>
    </row>
    <row r="65" spans="2:19" x14ac:dyDescent="0.25">
      <c r="B65" s="12"/>
      <c r="C65" s="12" t="s">
        <v>5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</row>
  </sheetData>
  <phoneticPr fontId="1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AD523"/>
  <sheetViews>
    <sheetView tabSelected="1" topLeftCell="A3" zoomScale="115" zoomScaleNormal="115" workbookViewId="0">
      <selection activeCell="D15" sqref="D15"/>
    </sheetView>
  </sheetViews>
  <sheetFormatPr defaultColWidth="9.109375" defaultRowHeight="15.6" x14ac:dyDescent="0.25"/>
  <cols>
    <col min="1" max="1" width="9.5546875" style="22" bestFit="1" customWidth="1"/>
    <col min="2" max="2" width="15.44140625" style="22" bestFit="1" customWidth="1"/>
    <col min="3" max="3" width="10.88671875" style="22" customWidth="1"/>
    <col min="4" max="4" width="11.88671875" style="22" customWidth="1"/>
    <col min="5" max="5" width="2.33203125" style="22" customWidth="1"/>
    <col min="6" max="6" width="3.44140625" style="22" bestFit="1" customWidth="1"/>
    <col min="7" max="7" width="11.88671875" style="22" customWidth="1"/>
    <col min="8" max="8" width="14.33203125" style="22" bestFit="1" customWidth="1"/>
    <col min="9" max="9" width="3.33203125" style="22" customWidth="1"/>
    <col min="10" max="10" width="13.109375" style="22" customWidth="1"/>
    <col min="11" max="11" width="14.33203125" style="22" bestFit="1" customWidth="1"/>
    <col min="12" max="12" width="3.44140625" style="22" bestFit="1" customWidth="1"/>
    <col min="13" max="13" width="10.88671875" style="23" customWidth="1"/>
    <col min="14" max="14" width="14.33203125" style="23" bestFit="1" customWidth="1"/>
    <col min="15" max="15" width="3" style="23" customWidth="1"/>
    <col min="16" max="16" width="10.88671875" style="23" customWidth="1"/>
    <col min="17" max="17" width="14.33203125" style="23" bestFit="1" customWidth="1"/>
    <col min="18" max="18" width="13.6640625" style="23" customWidth="1"/>
    <col min="19" max="19" width="12.109375" style="22" bestFit="1" customWidth="1"/>
    <col min="20" max="20" width="15.5546875" style="22" bestFit="1" customWidth="1"/>
    <col min="21" max="21" width="3.44140625" style="22" bestFit="1" customWidth="1"/>
    <col min="22" max="22" width="12.109375" style="22" bestFit="1" customWidth="1"/>
    <col min="23" max="23" width="15.5546875" style="30" bestFit="1" customWidth="1"/>
    <col min="24" max="24" width="3.44140625" style="22" bestFit="1" customWidth="1"/>
    <col min="25" max="25" width="12.109375" style="22" bestFit="1" customWidth="1"/>
    <col min="26" max="26" width="16" style="35" bestFit="1" customWidth="1"/>
    <col min="27" max="27" width="3.44140625" style="22" bestFit="1" customWidth="1"/>
    <col min="28" max="28" width="12.109375" style="22" bestFit="1" customWidth="1"/>
    <col min="29" max="29" width="15.5546875" style="35" bestFit="1" customWidth="1"/>
    <col min="30" max="30" width="14" style="22" bestFit="1" customWidth="1"/>
    <col min="31" max="16384" width="9.109375" style="22"/>
  </cols>
  <sheetData>
    <row r="1" spans="1:30" x14ac:dyDescent="0.25">
      <c r="A1" s="22">
        <v>1</v>
      </c>
      <c r="B1" s="22">
        <v>2</v>
      </c>
      <c r="C1" s="22">
        <v>3</v>
      </c>
      <c r="D1" s="22">
        <v>4</v>
      </c>
      <c r="E1" s="22">
        <v>5</v>
      </c>
      <c r="F1" s="22">
        <v>6</v>
      </c>
      <c r="G1" s="22">
        <v>7</v>
      </c>
      <c r="H1" s="22">
        <v>8</v>
      </c>
      <c r="I1" s="22">
        <v>9</v>
      </c>
      <c r="J1" s="22">
        <v>10</v>
      </c>
      <c r="K1" s="22">
        <v>11</v>
      </c>
      <c r="L1" s="22">
        <v>12</v>
      </c>
      <c r="M1" s="23">
        <v>13</v>
      </c>
      <c r="N1" s="23">
        <v>14</v>
      </c>
      <c r="O1" s="23">
        <v>15</v>
      </c>
      <c r="P1" s="23">
        <v>16</v>
      </c>
      <c r="Q1" s="23">
        <v>17</v>
      </c>
      <c r="R1" s="23">
        <v>18</v>
      </c>
      <c r="S1" s="23">
        <v>19</v>
      </c>
      <c r="T1" s="23">
        <v>20</v>
      </c>
      <c r="U1" s="23">
        <v>21</v>
      </c>
      <c r="V1" s="23">
        <v>22</v>
      </c>
      <c r="W1" s="23">
        <v>23</v>
      </c>
      <c r="X1" s="23">
        <v>24</v>
      </c>
      <c r="Y1" s="23">
        <v>25</v>
      </c>
      <c r="Z1" s="23">
        <v>26</v>
      </c>
      <c r="AA1" s="23">
        <v>27</v>
      </c>
      <c r="AB1" s="23">
        <v>28</v>
      </c>
      <c r="AC1" s="23">
        <v>29</v>
      </c>
      <c r="AD1" s="23">
        <v>30</v>
      </c>
    </row>
    <row r="2" spans="1:30" ht="31.2" x14ac:dyDescent="0.25">
      <c r="A2" s="24" t="s">
        <v>62</v>
      </c>
      <c r="B2" s="24" t="s">
        <v>63</v>
      </c>
      <c r="C2" s="24" t="s">
        <v>64</v>
      </c>
      <c r="D2" s="24" t="s">
        <v>65</v>
      </c>
      <c r="F2" s="25"/>
      <c r="G2" s="25" t="s">
        <v>66</v>
      </c>
      <c r="H2" s="25" t="s">
        <v>67</v>
      </c>
      <c r="I2" s="26"/>
      <c r="J2" s="25" t="s">
        <v>68</v>
      </c>
      <c r="K2" s="25" t="s">
        <v>69</v>
      </c>
      <c r="L2" s="26"/>
      <c r="M2" s="25" t="s">
        <v>70</v>
      </c>
      <c r="N2" s="27" t="s">
        <v>71</v>
      </c>
      <c r="O2" s="26"/>
      <c r="P2" s="25" t="s">
        <v>72</v>
      </c>
      <c r="Q2" s="25" t="s">
        <v>73</v>
      </c>
      <c r="S2" s="28" t="s">
        <v>66</v>
      </c>
      <c r="T2" s="29" t="s">
        <v>74</v>
      </c>
      <c r="U2" s="30"/>
      <c r="V2" s="28" t="s">
        <v>68</v>
      </c>
      <c r="W2" s="29" t="s">
        <v>75</v>
      </c>
      <c r="X2" s="30"/>
      <c r="Y2" s="28" t="s">
        <v>70</v>
      </c>
      <c r="Z2" s="29" t="s">
        <v>76</v>
      </c>
      <c r="AA2" s="30"/>
      <c r="AB2" s="28" t="s">
        <v>72</v>
      </c>
      <c r="AC2" s="29" t="s">
        <v>77</v>
      </c>
    </row>
    <row r="3" spans="1:30" ht="16.350000000000001" customHeight="1" x14ac:dyDescent="0.25">
      <c r="A3" s="31">
        <v>1</v>
      </c>
      <c r="B3" s="31" t="s">
        <v>11</v>
      </c>
      <c r="C3" s="31">
        <v>0</v>
      </c>
      <c r="D3" s="40"/>
      <c r="F3" s="25"/>
      <c r="G3" s="25" t="s">
        <v>78</v>
      </c>
      <c r="H3" s="25" t="s">
        <v>79</v>
      </c>
      <c r="I3" s="26"/>
      <c r="J3" s="25" t="s">
        <v>78</v>
      </c>
      <c r="K3" s="25" t="s">
        <v>79</v>
      </c>
      <c r="L3" s="26"/>
      <c r="M3" s="25" t="s">
        <v>78</v>
      </c>
      <c r="N3" s="27" t="s">
        <v>79</v>
      </c>
      <c r="O3" s="26"/>
      <c r="P3" s="25" t="s">
        <v>78</v>
      </c>
      <c r="Q3" s="25" t="s">
        <v>79</v>
      </c>
      <c r="S3" s="32"/>
      <c r="T3" s="33" t="s">
        <v>80</v>
      </c>
      <c r="U3" s="30"/>
      <c r="V3" s="32"/>
      <c r="W3" s="33" t="s">
        <v>81</v>
      </c>
      <c r="X3" s="30"/>
      <c r="Y3" s="32"/>
      <c r="Z3" s="33" t="s">
        <v>82</v>
      </c>
      <c r="AA3" s="30"/>
      <c r="AB3" s="32"/>
      <c r="AC3" s="33" t="s">
        <v>83</v>
      </c>
    </row>
    <row r="4" spans="1:30" ht="16.350000000000001" customHeight="1" x14ac:dyDescent="0.25">
      <c r="A4" s="31">
        <v>2</v>
      </c>
      <c r="B4" s="31" t="s">
        <v>12</v>
      </c>
      <c r="C4" s="31">
        <v>22.5</v>
      </c>
      <c r="D4" s="40"/>
      <c r="F4" s="25"/>
      <c r="G4" s="25" t="s">
        <v>84</v>
      </c>
      <c r="H4" s="25" t="s">
        <v>85</v>
      </c>
      <c r="I4" s="26"/>
      <c r="J4" s="25" t="s">
        <v>84</v>
      </c>
      <c r="K4" s="25" t="s">
        <v>85</v>
      </c>
      <c r="L4" s="26"/>
      <c r="M4" s="25" t="s">
        <v>84</v>
      </c>
      <c r="N4" s="27" t="s">
        <v>85</v>
      </c>
      <c r="O4" s="26"/>
      <c r="P4" s="25" t="s">
        <v>84</v>
      </c>
      <c r="Q4" s="25" t="s">
        <v>85</v>
      </c>
      <c r="S4" s="32"/>
      <c r="T4" s="29" t="s">
        <v>86</v>
      </c>
      <c r="U4" s="30"/>
      <c r="V4" s="32"/>
      <c r="W4" s="29" t="s">
        <v>87</v>
      </c>
      <c r="X4" s="30"/>
      <c r="Y4" s="32"/>
      <c r="Z4" s="29" t="s">
        <v>88</v>
      </c>
      <c r="AA4" s="30"/>
      <c r="AB4" s="32"/>
      <c r="AC4" s="29" t="s">
        <v>89</v>
      </c>
    </row>
    <row r="5" spans="1:30" ht="16.350000000000001" customHeight="1" x14ac:dyDescent="0.25">
      <c r="A5" s="31">
        <v>3</v>
      </c>
      <c r="B5" s="31" t="s">
        <v>13</v>
      </c>
      <c r="C5" s="31">
        <v>45</v>
      </c>
      <c r="D5" s="40"/>
      <c r="F5" s="25">
        <v>1</v>
      </c>
      <c r="G5" s="41">
        <v>10</v>
      </c>
      <c r="H5" s="41">
        <v>2.6040000000000001</v>
      </c>
      <c r="I5" s="30"/>
      <c r="J5" s="41">
        <v>10</v>
      </c>
      <c r="K5" s="41">
        <v>3.468</v>
      </c>
      <c r="L5" s="30"/>
      <c r="M5" s="41">
        <v>10</v>
      </c>
      <c r="N5" s="41">
        <v>2.6040000000000001</v>
      </c>
      <c r="O5" s="30"/>
      <c r="P5" s="41">
        <v>10</v>
      </c>
      <c r="Q5" s="41">
        <v>3.1539999999999999</v>
      </c>
      <c r="S5" s="34"/>
      <c r="T5" s="33" t="s">
        <v>90</v>
      </c>
      <c r="U5" s="30"/>
      <c r="V5" s="34"/>
      <c r="W5" s="33" t="s">
        <v>91</v>
      </c>
      <c r="X5" s="30"/>
      <c r="Y5" s="34"/>
      <c r="Z5" s="33" t="s">
        <v>92</v>
      </c>
      <c r="AA5" s="30"/>
      <c r="AB5" s="34"/>
      <c r="AC5" s="33" t="s">
        <v>93</v>
      </c>
    </row>
    <row r="6" spans="1:30" ht="16.350000000000001" customHeight="1" x14ac:dyDescent="0.25">
      <c r="A6" s="31">
        <v>4</v>
      </c>
      <c r="B6" s="31" t="s">
        <v>14</v>
      </c>
      <c r="C6" s="31">
        <v>67.5</v>
      </c>
      <c r="D6" s="40"/>
      <c r="F6" s="25">
        <v>2</v>
      </c>
      <c r="G6" s="41">
        <v>66.599999999999994</v>
      </c>
      <c r="H6" s="41">
        <v>3.1179999999999999</v>
      </c>
      <c r="I6" s="30"/>
      <c r="J6" s="41">
        <v>35.991</v>
      </c>
      <c r="K6" s="41">
        <v>3.6970000000000001</v>
      </c>
      <c r="L6" s="30"/>
      <c r="M6" s="41">
        <v>36.018999999999998</v>
      </c>
      <c r="N6" s="41">
        <v>2.9929999999999999</v>
      </c>
      <c r="O6" s="30"/>
      <c r="P6" s="41">
        <v>36.954000000000001</v>
      </c>
      <c r="Q6" s="41">
        <v>3.3570000000000002</v>
      </c>
    </row>
    <row r="7" spans="1:30" x14ac:dyDescent="0.25">
      <c r="A7" s="31">
        <v>5</v>
      </c>
      <c r="B7" s="31" t="s">
        <v>15</v>
      </c>
      <c r="C7" s="31">
        <v>90</v>
      </c>
      <c r="D7" s="40"/>
      <c r="F7" s="25">
        <v>3</v>
      </c>
      <c r="G7" s="41">
        <v>103.896</v>
      </c>
      <c r="H7" s="41">
        <v>3.6</v>
      </c>
      <c r="I7" s="30"/>
      <c r="J7" s="41">
        <v>62.642000000000003</v>
      </c>
      <c r="K7" s="41">
        <v>3.7639999999999998</v>
      </c>
      <c r="L7" s="30"/>
      <c r="M7" s="41">
        <v>60.094999999999999</v>
      </c>
      <c r="N7" s="41">
        <v>3.1949999999999998</v>
      </c>
      <c r="O7" s="30"/>
      <c r="P7" s="41">
        <v>66.620999999999995</v>
      </c>
      <c r="Q7" s="41">
        <v>3.4710000000000001</v>
      </c>
      <c r="S7" s="25" t="str">
        <f t="shared" ref="S7:T9" si="0">G2</f>
        <v>Line 0</v>
      </c>
      <c r="T7" s="25" t="str">
        <f t="shared" si="0"/>
        <v>22.5 - 112.4</v>
      </c>
      <c r="U7" s="26"/>
      <c r="V7" s="25" t="str">
        <f t="shared" ref="V7:W9" si="1">J2</f>
        <v>Line 1</v>
      </c>
      <c r="W7" s="25" t="str">
        <f t="shared" si="1"/>
        <v>112.5 - 202.4</v>
      </c>
      <c r="X7" s="26"/>
      <c r="Y7" s="25" t="str">
        <f t="shared" ref="Y7:Z9" si="2">M2</f>
        <v>Line 2</v>
      </c>
      <c r="Z7" s="25" t="str">
        <f t="shared" si="2"/>
        <v>202.5 - 292.4</v>
      </c>
      <c r="AA7" s="26"/>
      <c r="AB7" s="25" t="str">
        <f t="shared" ref="AB7:AC9" si="3">P2</f>
        <v>Line 3</v>
      </c>
      <c r="AC7" s="25" t="str">
        <f t="shared" si="3"/>
        <v>292.5 - 22.4</v>
      </c>
    </row>
    <row r="8" spans="1:30" x14ac:dyDescent="0.25">
      <c r="A8" s="31">
        <v>6</v>
      </c>
      <c r="B8" s="31" t="s">
        <v>16</v>
      </c>
      <c r="C8" s="31">
        <v>112.5</v>
      </c>
      <c r="D8" s="40"/>
      <c r="F8" s="25">
        <v>4</v>
      </c>
      <c r="G8" s="41">
        <v>147.81</v>
      </c>
      <c r="H8" s="41">
        <v>4.1260000000000003</v>
      </c>
      <c r="I8" s="30"/>
      <c r="J8" s="41">
        <v>88.248000000000005</v>
      </c>
      <c r="K8" s="41">
        <v>3.6110000000000002</v>
      </c>
      <c r="L8" s="30"/>
      <c r="M8" s="41">
        <v>89.177999999999997</v>
      </c>
      <c r="N8" s="41">
        <v>3.2280000000000002</v>
      </c>
      <c r="O8" s="30"/>
      <c r="P8" s="41">
        <v>154.18299999999999</v>
      </c>
      <c r="Q8" s="41">
        <v>4.0410000000000004</v>
      </c>
      <c r="S8" s="25" t="str">
        <f t="shared" si="0"/>
        <v>Height (m)</v>
      </c>
      <c r="T8" s="25" t="str">
        <f t="shared" si="0"/>
        <v>Velocity (m/s)</v>
      </c>
      <c r="U8" s="26"/>
      <c r="V8" s="25" t="str">
        <f t="shared" si="1"/>
        <v>Height (m)</v>
      </c>
      <c r="W8" s="25" t="str">
        <f t="shared" si="1"/>
        <v>Velocity (m/s)</v>
      </c>
      <c r="X8" s="26"/>
      <c r="Y8" s="25" t="str">
        <f t="shared" si="2"/>
        <v>Height (m)</v>
      </c>
      <c r="Z8" s="25" t="str">
        <f t="shared" si="2"/>
        <v>Velocity (m/s)</v>
      </c>
      <c r="AA8" s="26"/>
      <c r="AB8" s="25" t="str">
        <f t="shared" si="3"/>
        <v>Height (m)</v>
      </c>
      <c r="AC8" s="25" t="str">
        <f t="shared" si="3"/>
        <v>Velocity (m/s)</v>
      </c>
    </row>
    <row r="9" spans="1:30" x14ac:dyDescent="0.25">
      <c r="A9" s="31">
        <v>7</v>
      </c>
      <c r="B9" s="31" t="s">
        <v>17</v>
      </c>
      <c r="C9" s="31">
        <v>135</v>
      </c>
      <c r="D9" s="40"/>
      <c r="F9" s="25">
        <v>5</v>
      </c>
      <c r="G9" s="41">
        <v>191.70500000000001</v>
      </c>
      <c r="H9" s="41">
        <v>4.569</v>
      </c>
      <c r="I9" s="30"/>
      <c r="J9" s="41">
        <v>115.494</v>
      </c>
      <c r="K9" s="41">
        <v>3.5950000000000002</v>
      </c>
      <c r="L9" s="30"/>
      <c r="M9" s="41">
        <v>108.804</v>
      </c>
      <c r="N9" s="41">
        <v>3.097</v>
      </c>
      <c r="O9" s="30"/>
      <c r="P9" s="41">
        <v>217.66300000000001</v>
      </c>
      <c r="Q9" s="41">
        <v>4.2290000000000001</v>
      </c>
      <c r="S9" s="25" t="str">
        <f t="shared" si="0"/>
        <v>Z</v>
      </c>
      <c r="T9" s="25" t="str">
        <f t="shared" si="0"/>
        <v>V_ref</v>
      </c>
      <c r="U9" s="26"/>
      <c r="V9" s="25" t="str">
        <f t="shared" si="1"/>
        <v>Z</v>
      </c>
      <c r="W9" s="25" t="str">
        <f t="shared" si="1"/>
        <v>V_ref</v>
      </c>
      <c r="X9" s="26"/>
      <c r="Y9" s="25" t="str">
        <f t="shared" si="2"/>
        <v>Z</v>
      </c>
      <c r="Z9" s="25" t="str">
        <f t="shared" si="2"/>
        <v>V_ref</v>
      </c>
      <c r="AA9" s="26"/>
      <c r="AB9" s="25" t="str">
        <f t="shared" si="3"/>
        <v>Z</v>
      </c>
      <c r="AC9" s="25" t="str">
        <f t="shared" si="3"/>
        <v>V_ref</v>
      </c>
    </row>
    <row r="10" spans="1:30" x14ac:dyDescent="0.25">
      <c r="A10" s="31">
        <v>8</v>
      </c>
      <c r="B10" s="31" t="s">
        <v>18</v>
      </c>
      <c r="C10" s="31">
        <v>157.5</v>
      </c>
      <c r="D10" s="40"/>
      <c r="F10" s="25">
        <v>6</v>
      </c>
      <c r="G10" s="41">
        <v>229.79</v>
      </c>
      <c r="H10" s="41">
        <v>4.8579999999999997</v>
      </c>
      <c r="I10" s="30"/>
      <c r="J10" s="41">
        <v>143.744</v>
      </c>
      <c r="K10" s="41">
        <v>3.7559999999999998</v>
      </c>
      <c r="L10" s="30"/>
      <c r="M10" s="41">
        <v>144.55099999999999</v>
      </c>
      <c r="N10" s="41">
        <v>2.95</v>
      </c>
      <c r="O10" s="30"/>
      <c r="P10" s="41">
        <v>304.81400000000002</v>
      </c>
      <c r="Q10" s="41">
        <v>4.3730000000000002</v>
      </c>
      <c r="S10" s="41">
        <v>0</v>
      </c>
      <c r="T10" s="36"/>
      <c r="U10" s="30"/>
      <c r="V10" s="41">
        <f>S10</f>
        <v>0</v>
      </c>
      <c r="W10" s="36"/>
      <c r="X10" s="30"/>
      <c r="Y10" s="41">
        <f>S10</f>
        <v>0</v>
      </c>
      <c r="Z10" s="36"/>
      <c r="AA10" s="30"/>
      <c r="AB10" s="41">
        <f>S10</f>
        <v>0</v>
      </c>
      <c r="AC10" s="36">
        <v>0</v>
      </c>
    </row>
    <row r="11" spans="1:30" x14ac:dyDescent="0.25">
      <c r="A11" s="31">
        <v>9</v>
      </c>
      <c r="B11" s="31" t="s">
        <v>19</v>
      </c>
      <c r="C11" s="31">
        <v>180</v>
      </c>
      <c r="D11" s="40"/>
      <c r="F11" s="25">
        <v>7</v>
      </c>
      <c r="G11" s="41">
        <v>273.80900000000003</v>
      </c>
      <c r="H11" s="41">
        <v>5.1289999999999996</v>
      </c>
      <c r="I11" s="30"/>
      <c r="J11" s="41">
        <v>221.197</v>
      </c>
      <c r="K11" s="41">
        <v>4.2519999999999998</v>
      </c>
      <c r="L11" s="30"/>
      <c r="M11" s="41">
        <v>194.04599999999999</v>
      </c>
      <c r="N11" s="41">
        <v>3.0569999999999999</v>
      </c>
      <c r="O11" s="30"/>
      <c r="P11" s="41">
        <v>378.45400000000001</v>
      </c>
      <c r="Q11" s="41">
        <v>4.3419999999999996</v>
      </c>
      <c r="S11" s="41">
        <v>2</v>
      </c>
      <c r="T11" s="36"/>
      <c r="U11" s="30"/>
      <c r="V11" s="41">
        <f t="shared" ref="V11:V74" si="4">S11</f>
        <v>2</v>
      </c>
      <c r="W11" s="36"/>
      <c r="X11" s="30"/>
      <c r="Y11" s="41">
        <f t="shared" ref="Y11:Y74" si="5">S11</f>
        <v>2</v>
      </c>
      <c r="Z11" s="36"/>
      <c r="AA11" s="30"/>
      <c r="AB11" s="41">
        <f t="shared" ref="AB11:AB74" si="6">S11</f>
        <v>2</v>
      </c>
      <c r="AC11" s="36">
        <v>2.477514405350985</v>
      </c>
    </row>
    <row r="12" spans="1:30" x14ac:dyDescent="0.25">
      <c r="A12" s="31">
        <v>10</v>
      </c>
      <c r="B12" s="31" t="s">
        <v>20</v>
      </c>
      <c r="C12" s="31">
        <v>202.5</v>
      </c>
      <c r="D12" s="40">
        <v>0.35</v>
      </c>
      <c r="F12" s="25">
        <v>8</v>
      </c>
      <c r="G12" s="41">
        <v>359.13900000000001</v>
      </c>
      <c r="H12" s="41">
        <v>5.6079999999999997</v>
      </c>
      <c r="I12" s="30"/>
      <c r="J12" s="41">
        <v>309.27499999999998</v>
      </c>
      <c r="K12" s="41">
        <v>4.923</v>
      </c>
      <c r="L12" s="30"/>
      <c r="M12" s="41">
        <v>306.85199999999998</v>
      </c>
      <c r="N12" s="41">
        <v>3.6110000000000002</v>
      </c>
      <c r="O12" s="30"/>
      <c r="P12" s="41">
        <v>449.89400000000001</v>
      </c>
      <c r="Q12" s="41">
        <v>4.1109999999999998</v>
      </c>
      <c r="S12" s="41">
        <v>4</v>
      </c>
      <c r="T12" s="36"/>
      <c r="U12" s="30"/>
      <c r="V12" s="41">
        <f t="shared" si="4"/>
        <v>4</v>
      </c>
      <c r="W12" s="36"/>
      <c r="X12" s="30"/>
      <c r="Y12" s="41">
        <f t="shared" si="5"/>
        <v>4</v>
      </c>
      <c r="Z12" s="36"/>
      <c r="AA12" s="30"/>
      <c r="AB12" s="41">
        <f t="shared" si="6"/>
        <v>4</v>
      </c>
      <c r="AC12" s="36">
        <v>2.7489743507857729</v>
      </c>
    </row>
    <row r="13" spans="1:30" x14ac:dyDescent="0.25">
      <c r="A13" s="31">
        <v>11</v>
      </c>
      <c r="B13" s="31" t="s">
        <v>21</v>
      </c>
      <c r="C13" s="31">
        <v>225</v>
      </c>
      <c r="D13" s="40"/>
      <c r="F13" s="25">
        <v>9</v>
      </c>
      <c r="G13" s="41">
        <v>459.96300000000002</v>
      </c>
      <c r="H13" s="41">
        <v>6.125</v>
      </c>
      <c r="I13" s="30"/>
      <c r="J13" s="41">
        <v>413.79300000000001</v>
      </c>
      <c r="K13" s="41">
        <v>5.4930000000000003</v>
      </c>
      <c r="L13" s="30"/>
      <c r="M13" s="41">
        <v>325.28399999999999</v>
      </c>
      <c r="N13" s="41">
        <v>3.6190000000000002</v>
      </c>
      <c r="O13" s="30"/>
      <c r="P13" s="41">
        <v>500</v>
      </c>
      <c r="Q13" s="41">
        <v>4.1020000000000003</v>
      </c>
      <c r="S13" s="41">
        <v>6</v>
      </c>
      <c r="T13" s="36"/>
      <c r="U13" s="30"/>
      <c r="V13" s="41">
        <f t="shared" si="4"/>
        <v>6</v>
      </c>
      <c r="W13" s="36"/>
      <c r="X13" s="30"/>
      <c r="Y13" s="41">
        <f t="shared" si="5"/>
        <v>6</v>
      </c>
      <c r="Z13" s="36"/>
      <c r="AA13" s="30"/>
      <c r="AB13" s="41">
        <f t="shared" si="6"/>
        <v>6</v>
      </c>
      <c r="AC13" s="36">
        <v>2.9213552782112844</v>
      </c>
    </row>
    <row r="14" spans="1:30" x14ac:dyDescent="0.25">
      <c r="A14" s="31">
        <v>12</v>
      </c>
      <c r="B14" s="31" t="s">
        <v>22</v>
      </c>
      <c r="C14" s="31">
        <v>247.5</v>
      </c>
      <c r="D14" s="40"/>
      <c r="F14" s="25">
        <v>10</v>
      </c>
      <c r="G14" s="41">
        <v>500</v>
      </c>
      <c r="H14" s="41">
        <v>6.1920000000000002</v>
      </c>
      <c r="I14" s="30"/>
      <c r="J14" s="41">
        <v>500</v>
      </c>
      <c r="K14" s="41">
        <v>5.9509999999999996</v>
      </c>
      <c r="L14" s="30"/>
      <c r="M14" s="41">
        <v>368.57600000000002</v>
      </c>
      <c r="N14" s="41">
        <v>3.7189999999999999</v>
      </c>
      <c r="O14" s="30"/>
      <c r="P14" s="41"/>
      <c r="Q14" s="41"/>
      <c r="S14" s="41">
        <v>8</v>
      </c>
      <c r="T14" s="36"/>
      <c r="U14" s="30"/>
      <c r="V14" s="41">
        <f t="shared" si="4"/>
        <v>8</v>
      </c>
      <c r="W14" s="36"/>
      <c r="X14" s="30"/>
      <c r="Y14" s="41">
        <f t="shared" si="5"/>
        <v>8</v>
      </c>
      <c r="Z14" s="36"/>
      <c r="AA14" s="30"/>
      <c r="AB14" s="41">
        <f t="shared" si="6"/>
        <v>8</v>
      </c>
      <c r="AC14" s="36">
        <v>3.050178019129417</v>
      </c>
    </row>
    <row r="15" spans="1:30" x14ac:dyDescent="0.25">
      <c r="A15" s="31">
        <v>13</v>
      </c>
      <c r="B15" s="31" t="s">
        <v>23</v>
      </c>
      <c r="C15" s="31">
        <v>270</v>
      </c>
      <c r="D15" s="40"/>
      <c r="F15" s="25">
        <v>11</v>
      </c>
      <c r="G15" s="41"/>
      <c r="H15" s="41"/>
      <c r="I15" s="30"/>
      <c r="J15" s="41"/>
      <c r="K15" s="41"/>
      <c r="L15" s="30"/>
      <c r="M15" s="41">
        <v>446.28500000000003</v>
      </c>
      <c r="N15" s="41">
        <v>3.9780000000000002</v>
      </c>
      <c r="O15" s="30"/>
      <c r="P15" s="41"/>
      <c r="Q15" s="41"/>
      <c r="S15" s="41">
        <v>10</v>
      </c>
      <c r="T15" s="36"/>
      <c r="U15" s="30"/>
      <c r="V15" s="41">
        <f t="shared" si="4"/>
        <v>10</v>
      </c>
      <c r="W15" s="36"/>
      <c r="X15" s="30"/>
      <c r="Y15" s="41">
        <f t="shared" si="5"/>
        <v>10</v>
      </c>
      <c r="Z15" s="36"/>
      <c r="AA15" s="30"/>
      <c r="AB15" s="41">
        <f t="shared" si="6"/>
        <v>10</v>
      </c>
      <c r="AC15" s="36">
        <v>3.1539999999999999</v>
      </c>
    </row>
    <row r="16" spans="1:30" x14ac:dyDescent="0.25">
      <c r="A16" s="31">
        <v>14</v>
      </c>
      <c r="B16" s="31" t="s">
        <v>24</v>
      </c>
      <c r="C16" s="31">
        <v>292.5</v>
      </c>
      <c r="D16" s="40"/>
      <c r="F16" s="25">
        <v>12</v>
      </c>
      <c r="G16" s="41"/>
      <c r="H16" s="41"/>
      <c r="I16" s="30"/>
      <c r="J16" s="41"/>
      <c r="K16" s="41"/>
      <c r="L16" s="30"/>
      <c r="M16" s="41">
        <v>500</v>
      </c>
      <c r="N16" s="41">
        <v>4.181</v>
      </c>
      <c r="O16" s="30"/>
      <c r="P16" s="41"/>
      <c r="Q16" s="41"/>
      <c r="S16" s="41">
        <v>20</v>
      </c>
      <c r="T16" s="36"/>
      <c r="U16" s="30"/>
      <c r="V16" s="41">
        <f t="shared" si="4"/>
        <v>20</v>
      </c>
      <c r="W16" s="36"/>
      <c r="X16" s="30"/>
      <c r="Y16" s="41">
        <f t="shared" si="5"/>
        <v>20</v>
      </c>
      <c r="Z16" s="36"/>
      <c r="AA16" s="30"/>
      <c r="AB16" s="41">
        <f t="shared" si="6"/>
        <v>20</v>
      </c>
      <c r="AC16" s="36">
        <v>3.2291851851851852</v>
      </c>
    </row>
    <row r="17" spans="1:29" x14ac:dyDescent="0.25">
      <c r="A17" s="31">
        <v>15</v>
      </c>
      <c r="B17" s="31" t="s">
        <v>25</v>
      </c>
      <c r="C17" s="31">
        <v>315</v>
      </c>
      <c r="D17" s="40"/>
      <c r="F17" s="25">
        <v>13</v>
      </c>
      <c r="G17" s="41"/>
      <c r="H17" s="41"/>
      <c r="I17" s="30"/>
      <c r="J17" s="41"/>
      <c r="K17" s="41"/>
      <c r="L17" s="30"/>
      <c r="M17" s="41"/>
      <c r="N17" s="41"/>
      <c r="O17" s="30"/>
      <c r="P17" s="41"/>
      <c r="Q17" s="41"/>
      <c r="S17" s="41">
        <v>50</v>
      </c>
      <c r="T17" s="36"/>
      <c r="U17" s="30"/>
      <c r="V17" s="41">
        <f t="shared" si="4"/>
        <v>50</v>
      </c>
      <c r="W17" s="36"/>
      <c r="X17" s="30"/>
      <c r="Y17" s="41">
        <f t="shared" si="5"/>
        <v>50</v>
      </c>
      <c r="Z17" s="36"/>
      <c r="AA17" s="30"/>
      <c r="AB17" s="41">
        <f t="shared" si="6"/>
        <v>50</v>
      </c>
      <c r="AC17" s="36">
        <v>3.4064000000000001</v>
      </c>
    </row>
    <row r="18" spans="1:29" x14ac:dyDescent="0.25">
      <c r="A18" s="31">
        <v>16</v>
      </c>
      <c r="B18" s="31" t="s">
        <v>26</v>
      </c>
      <c r="C18" s="31">
        <v>337.5</v>
      </c>
      <c r="D18" s="40"/>
      <c r="F18" s="25">
        <v>14</v>
      </c>
      <c r="G18" s="41"/>
      <c r="H18" s="41"/>
      <c r="I18" s="30"/>
      <c r="J18" s="41"/>
      <c r="K18" s="41"/>
      <c r="L18" s="30"/>
      <c r="M18" s="41"/>
      <c r="N18" s="41"/>
      <c r="O18" s="30"/>
      <c r="P18" s="41"/>
      <c r="Q18" s="41"/>
      <c r="S18" s="41">
        <v>80</v>
      </c>
      <c r="T18" s="36"/>
      <c r="U18" s="30"/>
      <c r="V18" s="41">
        <f t="shared" si="4"/>
        <v>80</v>
      </c>
      <c r="W18" s="36"/>
      <c r="X18" s="30"/>
      <c r="Y18" s="41">
        <f t="shared" si="5"/>
        <v>80</v>
      </c>
      <c r="Z18" s="36"/>
      <c r="AA18" s="30"/>
      <c r="AB18" s="41">
        <f t="shared" si="6"/>
        <v>80</v>
      </c>
      <c r="AC18" s="36">
        <v>3.5561724137931034</v>
      </c>
    </row>
    <row r="19" spans="1:29" x14ac:dyDescent="0.25">
      <c r="F19" s="25">
        <v>15</v>
      </c>
      <c r="G19" s="41"/>
      <c r="H19" s="41"/>
      <c r="I19" s="30"/>
      <c r="J19" s="41"/>
      <c r="K19" s="41"/>
      <c r="L19" s="30"/>
      <c r="M19" s="41"/>
      <c r="N19" s="41"/>
      <c r="O19" s="30"/>
      <c r="P19" s="41"/>
      <c r="Q19" s="41"/>
      <c r="S19" s="41">
        <v>110</v>
      </c>
      <c r="T19" s="36"/>
      <c r="U19" s="30"/>
      <c r="V19" s="41">
        <f t="shared" si="4"/>
        <v>110</v>
      </c>
      <c r="W19" s="36"/>
      <c r="X19" s="30"/>
      <c r="Y19" s="41">
        <f t="shared" si="5"/>
        <v>110</v>
      </c>
      <c r="Z19" s="36"/>
      <c r="AA19" s="30"/>
      <c r="AB19" s="41">
        <f t="shared" si="6"/>
        <v>110</v>
      </c>
      <c r="AC19" s="36">
        <v>3.7527241379310348</v>
      </c>
    </row>
    <row r="20" spans="1:29" x14ac:dyDescent="0.25">
      <c r="F20" s="25">
        <v>16</v>
      </c>
      <c r="G20" s="41"/>
      <c r="H20" s="41"/>
      <c r="I20" s="30"/>
      <c r="J20" s="41"/>
      <c r="K20" s="41"/>
      <c r="L20" s="30"/>
      <c r="M20" s="41"/>
      <c r="N20" s="41"/>
      <c r="O20" s="30"/>
      <c r="P20" s="41"/>
      <c r="Q20" s="41"/>
      <c r="S20" s="41">
        <v>140</v>
      </c>
      <c r="T20" s="36"/>
      <c r="U20" s="30"/>
      <c r="V20" s="41">
        <f t="shared" si="4"/>
        <v>140</v>
      </c>
      <c r="W20" s="36"/>
      <c r="X20" s="30"/>
      <c r="Y20" s="41">
        <f t="shared" si="5"/>
        <v>140</v>
      </c>
      <c r="Z20" s="36"/>
      <c r="AA20" s="30"/>
      <c r="AB20" s="41">
        <f t="shared" si="6"/>
        <v>140</v>
      </c>
      <c r="AC20" s="36">
        <v>3.9492758620689656</v>
      </c>
    </row>
    <row r="21" spans="1:29" x14ac:dyDescent="0.25">
      <c r="F21" s="25">
        <v>17</v>
      </c>
      <c r="G21" s="41"/>
      <c r="H21" s="41"/>
      <c r="I21" s="30"/>
      <c r="J21" s="41"/>
      <c r="K21" s="41"/>
      <c r="L21" s="30"/>
      <c r="M21" s="41"/>
      <c r="N21" s="41"/>
      <c r="O21" s="30"/>
      <c r="P21" s="41"/>
      <c r="Q21" s="41"/>
      <c r="S21" s="41">
        <v>170</v>
      </c>
      <c r="T21" s="36"/>
      <c r="U21" s="30"/>
      <c r="V21" s="41">
        <f t="shared" si="4"/>
        <v>170</v>
      </c>
      <c r="W21" s="36"/>
      <c r="X21" s="30"/>
      <c r="Y21" s="41">
        <f t="shared" si="5"/>
        <v>170</v>
      </c>
      <c r="Z21" s="36"/>
      <c r="AA21" s="30"/>
      <c r="AB21" s="41">
        <f t="shared" si="6"/>
        <v>170</v>
      </c>
      <c r="AC21" s="36">
        <v>4.0880000000000001</v>
      </c>
    </row>
    <row r="22" spans="1:29" x14ac:dyDescent="0.25">
      <c r="F22" s="25">
        <v>18</v>
      </c>
      <c r="G22" s="41"/>
      <c r="H22" s="41"/>
      <c r="I22" s="30"/>
      <c r="J22" s="41"/>
      <c r="K22" s="41"/>
      <c r="L22" s="30"/>
      <c r="M22" s="41"/>
      <c r="N22" s="41"/>
      <c r="O22" s="30"/>
      <c r="P22" s="41"/>
      <c r="Q22" s="41"/>
      <c r="S22" s="41">
        <v>200</v>
      </c>
      <c r="T22" s="36"/>
      <c r="U22" s="30"/>
      <c r="V22" s="41">
        <f t="shared" si="4"/>
        <v>200</v>
      </c>
      <c r="W22" s="36"/>
      <c r="X22" s="30"/>
      <c r="Y22" s="41">
        <f t="shared" si="5"/>
        <v>200</v>
      </c>
      <c r="Z22" s="36"/>
      <c r="AA22" s="30"/>
      <c r="AB22" s="41">
        <f t="shared" si="6"/>
        <v>200</v>
      </c>
      <c r="AC22" s="36">
        <v>4.1761249999999999</v>
      </c>
    </row>
    <row r="23" spans="1:29" x14ac:dyDescent="0.25">
      <c r="F23" s="25">
        <v>19</v>
      </c>
      <c r="G23" s="41"/>
      <c r="H23" s="41"/>
      <c r="I23" s="30"/>
      <c r="J23" s="41"/>
      <c r="K23" s="41"/>
      <c r="L23" s="30"/>
      <c r="M23" s="41"/>
      <c r="N23" s="41"/>
      <c r="O23" s="30"/>
      <c r="P23" s="41"/>
      <c r="Q23" s="41"/>
      <c r="R23" s="23">
        <v>1</v>
      </c>
      <c r="S23" s="41">
        <v>230</v>
      </c>
      <c r="T23" s="36"/>
      <c r="U23" s="30"/>
      <c r="V23" s="41">
        <f t="shared" si="4"/>
        <v>230</v>
      </c>
      <c r="W23" s="36"/>
      <c r="X23" s="30"/>
      <c r="Y23" s="41">
        <f t="shared" si="5"/>
        <v>230</v>
      </c>
      <c r="Z23" s="36"/>
      <c r="AA23" s="30"/>
      <c r="AB23" s="41">
        <f t="shared" si="6"/>
        <v>230</v>
      </c>
      <c r="AC23" s="36">
        <v>4.2488620689655177</v>
      </c>
    </row>
    <row r="24" spans="1:29" x14ac:dyDescent="0.25">
      <c r="F24" s="25">
        <v>20</v>
      </c>
      <c r="G24" s="41"/>
      <c r="H24" s="41"/>
      <c r="I24" s="37"/>
      <c r="J24" s="41"/>
      <c r="K24" s="41"/>
      <c r="L24" s="37"/>
      <c r="M24" s="41"/>
      <c r="N24" s="41"/>
      <c r="O24" s="37"/>
      <c r="P24" s="41"/>
      <c r="Q24" s="41"/>
      <c r="R24" s="23">
        <v>2</v>
      </c>
      <c r="S24" s="41">
        <v>260</v>
      </c>
      <c r="T24" s="36"/>
      <c r="U24" s="30"/>
      <c r="V24" s="41">
        <f t="shared" si="4"/>
        <v>260</v>
      </c>
      <c r="W24" s="36"/>
      <c r="X24" s="30"/>
      <c r="Y24" s="41">
        <f t="shared" si="5"/>
        <v>260</v>
      </c>
      <c r="Z24" s="36"/>
      <c r="AA24" s="30"/>
      <c r="AB24" s="41">
        <f t="shared" si="6"/>
        <v>260</v>
      </c>
      <c r="AC24" s="36">
        <v>4.2985172413793107</v>
      </c>
    </row>
    <row r="25" spans="1:29" x14ac:dyDescent="0.25">
      <c r="F25" s="25">
        <v>21</v>
      </c>
      <c r="G25" s="41"/>
      <c r="H25" s="41"/>
      <c r="I25" s="37"/>
      <c r="J25" s="41"/>
      <c r="K25" s="41"/>
      <c r="L25" s="37"/>
      <c r="M25" s="41"/>
      <c r="N25" s="41"/>
      <c r="O25" s="37"/>
      <c r="P25" s="41"/>
      <c r="Q25" s="41"/>
      <c r="R25" s="23">
        <v>3</v>
      </c>
      <c r="S25" s="41">
        <v>290</v>
      </c>
      <c r="T25" s="36"/>
      <c r="U25" s="30"/>
      <c r="V25" s="41">
        <f t="shared" si="4"/>
        <v>290</v>
      </c>
      <c r="W25" s="36"/>
      <c r="X25" s="30"/>
      <c r="Y25" s="41">
        <f t="shared" si="5"/>
        <v>290</v>
      </c>
      <c r="Z25" s="36"/>
      <c r="AA25" s="30"/>
      <c r="AB25" s="41">
        <f t="shared" si="6"/>
        <v>290</v>
      </c>
      <c r="AC25" s="36">
        <v>4.3481724137931037</v>
      </c>
    </row>
    <row r="26" spans="1:29" x14ac:dyDescent="0.25"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23">
        <v>4</v>
      </c>
      <c r="S26" s="41">
        <v>320</v>
      </c>
      <c r="T26" s="36"/>
      <c r="U26" s="30"/>
      <c r="V26" s="41">
        <f t="shared" si="4"/>
        <v>320</v>
      </c>
      <c r="W26" s="36"/>
      <c r="X26" s="30"/>
      <c r="Y26" s="41">
        <f t="shared" si="5"/>
        <v>320</v>
      </c>
      <c r="Z26" s="36"/>
      <c r="AA26" s="30"/>
      <c r="AB26" s="41">
        <f t="shared" si="6"/>
        <v>320</v>
      </c>
      <c r="AC26" s="36">
        <v>4.3666301369863012</v>
      </c>
    </row>
    <row r="27" spans="1:29" x14ac:dyDescent="0.25"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23">
        <v>5</v>
      </c>
      <c r="S27" s="41">
        <v>350</v>
      </c>
      <c r="T27" s="36"/>
      <c r="U27" s="30"/>
      <c r="V27" s="41">
        <f t="shared" si="4"/>
        <v>350</v>
      </c>
      <c r="W27" s="36"/>
      <c r="X27" s="30"/>
      <c r="Y27" s="41">
        <f t="shared" si="5"/>
        <v>350</v>
      </c>
      <c r="Z27" s="36"/>
      <c r="AA27" s="30"/>
      <c r="AB27" s="41">
        <f t="shared" si="6"/>
        <v>350</v>
      </c>
      <c r="AC27" s="36">
        <v>4.3538904109589041</v>
      </c>
    </row>
    <row r="28" spans="1:29" x14ac:dyDescent="0.25">
      <c r="A28" s="23"/>
      <c r="B28" s="23"/>
      <c r="C28" s="23"/>
      <c r="D28" s="23"/>
      <c r="E28" s="23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23">
        <v>6</v>
      </c>
      <c r="S28" s="41">
        <v>380</v>
      </c>
      <c r="T28" s="36"/>
      <c r="U28" s="30"/>
      <c r="V28" s="41">
        <f t="shared" si="4"/>
        <v>380</v>
      </c>
      <c r="W28" s="36"/>
      <c r="X28" s="30"/>
      <c r="Y28" s="41">
        <f t="shared" si="5"/>
        <v>380</v>
      </c>
      <c r="Z28" s="36"/>
      <c r="AA28" s="30"/>
      <c r="AB28" s="41">
        <f t="shared" si="6"/>
        <v>380</v>
      </c>
      <c r="AC28" s="36">
        <v>4.3355833333333331</v>
      </c>
    </row>
    <row r="29" spans="1:29" x14ac:dyDescent="0.25">
      <c r="A29" s="23"/>
      <c r="B29" s="23"/>
      <c r="C29" s="23"/>
      <c r="D29" s="23"/>
      <c r="E29" s="23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23">
        <v>7</v>
      </c>
      <c r="S29" s="41">
        <v>410</v>
      </c>
      <c r="T29" s="36"/>
      <c r="U29" s="30"/>
      <c r="V29" s="41">
        <f t="shared" si="4"/>
        <v>410</v>
      </c>
      <c r="W29" s="36"/>
      <c r="X29" s="30"/>
      <c r="Y29" s="41">
        <f t="shared" si="5"/>
        <v>410</v>
      </c>
      <c r="Z29" s="36"/>
      <c r="AA29" s="30"/>
      <c r="AB29" s="41">
        <f t="shared" si="6"/>
        <v>410</v>
      </c>
      <c r="AC29" s="36">
        <v>4.2393333333333327</v>
      </c>
    </row>
    <row r="30" spans="1:29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R30" s="23">
        <v>8</v>
      </c>
      <c r="S30" s="41">
        <v>440</v>
      </c>
      <c r="T30" s="36"/>
      <c r="U30" s="30"/>
      <c r="V30" s="41">
        <f t="shared" si="4"/>
        <v>440</v>
      </c>
      <c r="W30" s="36"/>
      <c r="X30" s="30"/>
      <c r="Y30" s="41">
        <f t="shared" si="5"/>
        <v>440</v>
      </c>
      <c r="Z30" s="36"/>
      <c r="AA30" s="30"/>
      <c r="AB30" s="41">
        <f t="shared" si="6"/>
        <v>440</v>
      </c>
      <c r="AC30" s="36">
        <v>4.1430833333333332</v>
      </c>
    </row>
    <row r="31" spans="1:29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R31" s="23">
        <v>9</v>
      </c>
      <c r="S31" s="41">
        <v>470</v>
      </c>
      <c r="T31" s="36"/>
      <c r="U31" s="30"/>
      <c r="V31" s="41">
        <f t="shared" si="4"/>
        <v>470</v>
      </c>
      <c r="W31" s="36"/>
      <c r="X31" s="30"/>
      <c r="Y31" s="41">
        <f t="shared" si="5"/>
        <v>470</v>
      </c>
      <c r="Z31" s="36"/>
      <c r="AA31" s="30"/>
      <c r="AB31" s="41">
        <f t="shared" si="6"/>
        <v>470</v>
      </c>
      <c r="AC31" s="36">
        <v>4.1074000000000002</v>
      </c>
    </row>
    <row r="32" spans="1:29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R32" s="23">
        <v>10</v>
      </c>
      <c r="S32" s="41">
        <v>500</v>
      </c>
      <c r="T32" s="36"/>
      <c r="U32" s="30"/>
      <c r="V32" s="41">
        <f t="shared" si="4"/>
        <v>500</v>
      </c>
      <c r="W32" s="36"/>
      <c r="X32" s="30"/>
      <c r="Y32" s="41">
        <f t="shared" si="5"/>
        <v>500</v>
      </c>
      <c r="Z32" s="36"/>
      <c r="AA32" s="30"/>
      <c r="AB32" s="41">
        <f t="shared" si="6"/>
        <v>500</v>
      </c>
      <c r="AC32" s="36">
        <v>4.1020000000000003</v>
      </c>
    </row>
    <row r="33" spans="1:29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R33" s="23">
        <v>11</v>
      </c>
      <c r="S33" s="41">
        <f t="shared" ref="S33:S75" si="7">10+S32</f>
        <v>510</v>
      </c>
      <c r="T33" s="36"/>
      <c r="U33" s="30"/>
      <c r="V33" s="41">
        <f t="shared" si="4"/>
        <v>510</v>
      </c>
      <c r="W33" s="36"/>
      <c r="X33" s="30"/>
      <c r="Y33" s="41">
        <f t="shared" si="5"/>
        <v>510</v>
      </c>
      <c r="Z33" s="36"/>
      <c r="AA33" s="30"/>
      <c r="AB33" s="41">
        <f t="shared" si="6"/>
        <v>510</v>
      </c>
      <c r="AC33" s="36">
        <v>4.1020000000000003</v>
      </c>
    </row>
    <row r="34" spans="1:29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R34" s="23">
        <v>12</v>
      </c>
      <c r="S34" s="41">
        <f t="shared" si="7"/>
        <v>520</v>
      </c>
      <c r="T34" s="36"/>
      <c r="U34" s="30"/>
      <c r="V34" s="41">
        <f t="shared" si="4"/>
        <v>520</v>
      </c>
      <c r="W34" s="36"/>
      <c r="X34" s="30"/>
      <c r="Y34" s="41">
        <f t="shared" si="5"/>
        <v>520</v>
      </c>
      <c r="Z34" s="36"/>
      <c r="AA34" s="30"/>
      <c r="AB34" s="41">
        <f t="shared" si="6"/>
        <v>520</v>
      </c>
      <c r="AC34" s="36">
        <v>4.1020000000000003</v>
      </c>
    </row>
    <row r="35" spans="1:29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R35" s="23">
        <v>13</v>
      </c>
      <c r="S35" s="41">
        <f t="shared" si="7"/>
        <v>530</v>
      </c>
      <c r="T35" s="36"/>
      <c r="V35" s="41">
        <f t="shared" si="4"/>
        <v>530</v>
      </c>
      <c r="W35" s="36"/>
      <c r="Y35" s="41">
        <f t="shared" si="5"/>
        <v>530</v>
      </c>
      <c r="Z35" s="39"/>
      <c r="AB35" s="41">
        <f t="shared" si="6"/>
        <v>530</v>
      </c>
      <c r="AC35" s="39">
        <v>4.1020000000000003</v>
      </c>
    </row>
    <row r="36" spans="1:29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R36" s="23">
        <v>14</v>
      </c>
      <c r="S36" s="41">
        <f t="shared" si="7"/>
        <v>540</v>
      </c>
      <c r="T36" s="36"/>
      <c r="V36" s="41">
        <f t="shared" si="4"/>
        <v>540</v>
      </c>
      <c r="W36" s="36"/>
      <c r="Y36" s="41">
        <f t="shared" si="5"/>
        <v>540</v>
      </c>
      <c r="Z36" s="39"/>
      <c r="AB36" s="41">
        <f t="shared" si="6"/>
        <v>540</v>
      </c>
      <c r="AC36" s="39">
        <v>4.1020000000000003</v>
      </c>
    </row>
    <row r="37" spans="1:29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R37" s="23">
        <v>15</v>
      </c>
      <c r="S37" s="41">
        <f t="shared" si="7"/>
        <v>550</v>
      </c>
      <c r="T37" s="36"/>
      <c r="V37" s="41">
        <f t="shared" si="4"/>
        <v>550</v>
      </c>
      <c r="W37" s="36"/>
      <c r="Y37" s="41">
        <f t="shared" si="5"/>
        <v>550</v>
      </c>
      <c r="Z37" s="39"/>
      <c r="AB37" s="41">
        <f t="shared" si="6"/>
        <v>550</v>
      </c>
      <c r="AC37" s="39">
        <v>4.1020000000000003</v>
      </c>
    </row>
    <row r="38" spans="1:29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R38" s="23">
        <v>16</v>
      </c>
      <c r="S38" s="41">
        <f t="shared" si="7"/>
        <v>560</v>
      </c>
      <c r="T38" s="36"/>
      <c r="V38" s="41">
        <f t="shared" si="4"/>
        <v>560</v>
      </c>
      <c r="W38" s="36"/>
      <c r="Y38" s="41">
        <f t="shared" si="5"/>
        <v>560</v>
      </c>
      <c r="Z38" s="39"/>
      <c r="AB38" s="41">
        <f t="shared" si="6"/>
        <v>560</v>
      </c>
      <c r="AC38" s="39">
        <v>4.1020000000000003</v>
      </c>
    </row>
    <row r="39" spans="1:29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R39" s="23">
        <v>17</v>
      </c>
      <c r="S39" s="41">
        <f t="shared" si="7"/>
        <v>570</v>
      </c>
      <c r="T39" s="36"/>
      <c r="V39" s="41">
        <f t="shared" si="4"/>
        <v>570</v>
      </c>
      <c r="W39" s="36"/>
      <c r="Y39" s="41">
        <f t="shared" si="5"/>
        <v>570</v>
      </c>
      <c r="Z39" s="39"/>
      <c r="AB39" s="41">
        <f t="shared" si="6"/>
        <v>570</v>
      </c>
      <c r="AC39" s="39">
        <v>4.1020000000000003</v>
      </c>
    </row>
    <row r="40" spans="1:29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R40" s="23">
        <v>18</v>
      </c>
      <c r="S40" s="41">
        <f t="shared" si="7"/>
        <v>580</v>
      </c>
      <c r="T40" s="36"/>
      <c r="V40" s="41">
        <f t="shared" si="4"/>
        <v>580</v>
      </c>
      <c r="W40" s="36"/>
      <c r="Y40" s="41">
        <f t="shared" si="5"/>
        <v>580</v>
      </c>
      <c r="Z40" s="39"/>
      <c r="AB40" s="41">
        <f t="shared" si="6"/>
        <v>580</v>
      </c>
      <c r="AC40" s="39">
        <v>4.1020000000000003</v>
      </c>
    </row>
    <row r="41" spans="1:29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R41" s="23">
        <v>19</v>
      </c>
      <c r="S41" s="41">
        <f t="shared" si="7"/>
        <v>590</v>
      </c>
      <c r="T41" s="36"/>
      <c r="V41" s="41">
        <f t="shared" si="4"/>
        <v>590</v>
      </c>
      <c r="W41" s="36"/>
      <c r="Y41" s="41">
        <f t="shared" si="5"/>
        <v>590</v>
      </c>
      <c r="Z41" s="39"/>
      <c r="AB41" s="41">
        <f t="shared" si="6"/>
        <v>590</v>
      </c>
      <c r="AC41" s="39">
        <v>4.1020000000000003</v>
      </c>
    </row>
    <row r="42" spans="1:29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R42" s="23">
        <v>20</v>
      </c>
      <c r="S42" s="41">
        <f t="shared" si="7"/>
        <v>600</v>
      </c>
      <c r="T42" s="36"/>
      <c r="V42" s="41">
        <f t="shared" si="4"/>
        <v>600</v>
      </c>
      <c r="W42" s="36"/>
      <c r="Y42" s="41">
        <f t="shared" si="5"/>
        <v>600</v>
      </c>
      <c r="Z42" s="39"/>
      <c r="AB42" s="41">
        <f t="shared" si="6"/>
        <v>600</v>
      </c>
      <c r="AC42" s="39">
        <v>4.1020000000000003</v>
      </c>
    </row>
    <row r="43" spans="1:29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R43" s="23">
        <v>21</v>
      </c>
      <c r="S43" s="41">
        <f t="shared" si="7"/>
        <v>610</v>
      </c>
      <c r="T43" s="36"/>
      <c r="V43" s="41">
        <f t="shared" si="4"/>
        <v>610</v>
      </c>
      <c r="W43" s="36"/>
      <c r="Y43" s="41">
        <f t="shared" si="5"/>
        <v>610</v>
      </c>
      <c r="Z43" s="39"/>
      <c r="AB43" s="41">
        <f t="shared" si="6"/>
        <v>610</v>
      </c>
      <c r="AC43" s="39">
        <v>4.1020000000000003</v>
      </c>
    </row>
    <row r="44" spans="1:29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R44" s="23">
        <v>22</v>
      </c>
      <c r="S44" s="41">
        <f t="shared" si="7"/>
        <v>620</v>
      </c>
      <c r="T44" s="36"/>
      <c r="V44" s="41">
        <f t="shared" si="4"/>
        <v>620</v>
      </c>
      <c r="W44" s="36"/>
      <c r="Y44" s="41">
        <f t="shared" si="5"/>
        <v>620</v>
      </c>
      <c r="Z44" s="39"/>
      <c r="AB44" s="41">
        <f t="shared" si="6"/>
        <v>620</v>
      </c>
      <c r="AC44" s="39">
        <v>4.1020000000000003</v>
      </c>
    </row>
    <row r="45" spans="1:29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R45" s="23">
        <v>23</v>
      </c>
      <c r="S45" s="41">
        <f t="shared" si="7"/>
        <v>630</v>
      </c>
      <c r="T45" s="36"/>
      <c r="V45" s="41">
        <f t="shared" si="4"/>
        <v>630</v>
      </c>
      <c r="W45" s="36"/>
      <c r="Y45" s="41">
        <f t="shared" si="5"/>
        <v>630</v>
      </c>
      <c r="Z45" s="39"/>
      <c r="AB45" s="41">
        <f t="shared" si="6"/>
        <v>630</v>
      </c>
      <c r="AC45" s="39">
        <v>4.1020000000000003</v>
      </c>
    </row>
    <row r="46" spans="1:29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R46" s="23">
        <v>24</v>
      </c>
      <c r="S46" s="41">
        <f t="shared" si="7"/>
        <v>640</v>
      </c>
      <c r="T46" s="36"/>
      <c r="V46" s="41">
        <f t="shared" si="4"/>
        <v>640</v>
      </c>
      <c r="W46" s="36"/>
      <c r="Y46" s="41">
        <f t="shared" si="5"/>
        <v>640</v>
      </c>
      <c r="Z46" s="39"/>
      <c r="AB46" s="41">
        <f t="shared" si="6"/>
        <v>640</v>
      </c>
      <c r="AC46" s="39">
        <v>4.1020000000000003</v>
      </c>
    </row>
    <row r="47" spans="1:29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R47" s="23">
        <v>25</v>
      </c>
      <c r="S47" s="41">
        <f t="shared" si="7"/>
        <v>650</v>
      </c>
      <c r="T47" s="36"/>
      <c r="V47" s="41">
        <f t="shared" si="4"/>
        <v>650</v>
      </c>
      <c r="W47" s="36"/>
      <c r="Y47" s="41">
        <f t="shared" si="5"/>
        <v>650</v>
      </c>
      <c r="Z47" s="39"/>
      <c r="AB47" s="41">
        <f t="shared" si="6"/>
        <v>650</v>
      </c>
      <c r="AC47" s="39">
        <v>4.1020000000000003</v>
      </c>
    </row>
    <row r="48" spans="1:29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R48" s="23">
        <v>26</v>
      </c>
      <c r="S48" s="41">
        <f t="shared" si="7"/>
        <v>660</v>
      </c>
      <c r="T48" s="36"/>
      <c r="V48" s="41">
        <f t="shared" si="4"/>
        <v>660</v>
      </c>
      <c r="W48" s="36"/>
      <c r="Y48" s="41">
        <f t="shared" si="5"/>
        <v>660</v>
      </c>
      <c r="Z48" s="39"/>
      <c r="AB48" s="41">
        <f t="shared" si="6"/>
        <v>660</v>
      </c>
      <c r="AC48" s="39">
        <v>4.1020000000000003</v>
      </c>
    </row>
    <row r="49" spans="1:29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R49" s="23">
        <v>27</v>
      </c>
      <c r="S49" s="41">
        <f t="shared" si="7"/>
        <v>670</v>
      </c>
      <c r="T49" s="36"/>
      <c r="V49" s="41">
        <f t="shared" si="4"/>
        <v>670</v>
      </c>
      <c r="W49" s="36"/>
      <c r="Y49" s="41">
        <f t="shared" si="5"/>
        <v>670</v>
      </c>
      <c r="Z49" s="39"/>
      <c r="AB49" s="41">
        <f t="shared" si="6"/>
        <v>670</v>
      </c>
      <c r="AC49" s="39">
        <v>4.1020000000000003</v>
      </c>
    </row>
    <row r="50" spans="1:29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R50" s="23">
        <v>28</v>
      </c>
      <c r="S50" s="41">
        <f t="shared" si="7"/>
        <v>680</v>
      </c>
      <c r="T50" s="36"/>
      <c r="V50" s="41">
        <f t="shared" si="4"/>
        <v>680</v>
      </c>
      <c r="W50" s="36"/>
      <c r="Y50" s="41">
        <f t="shared" si="5"/>
        <v>680</v>
      </c>
      <c r="Z50" s="39"/>
      <c r="AB50" s="41">
        <f t="shared" si="6"/>
        <v>680</v>
      </c>
      <c r="AC50" s="39">
        <v>4.1020000000000003</v>
      </c>
    </row>
    <row r="51" spans="1:29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R51" s="23">
        <v>29</v>
      </c>
      <c r="S51" s="41">
        <f t="shared" si="7"/>
        <v>690</v>
      </c>
      <c r="T51" s="36"/>
      <c r="V51" s="41">
        <f t="shared" si="4"/>
        <v>690</v>
      </c>
      <c r="W51" s="36"/>
      <c r="Y51" s="41">
        <f t="shared" si="5"/>
        <v>690</v>
      </c>
      <c r="Z51" s="39"/>
      <c r="AB51" s="41">
        <f t="shared" si="6"/>
        <v>690</v>
      </c>
      <c r="AC51" s="39">
        <v>4.1020000000000003</v>
      </c>
    </row>
    <row r="52" spans="1:29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R52" s="23">
        <v>30</v>
      </c>
      <c r="S52" s="41">
        <f t="shared" si="7"/>
        <v>700</v>
      </c>
      <c r="T52" s="36"/>
      <c r="V52" s="41">
        <f t="shared" si="4"/>
        <v>700</v>
      </c>
      <c r="W52" s="36"/>
      <c r="Y52" s="41">
        <f t="shared" si="5"/>
        <v>700</v>
      </c>
      <c r="Z52" s="39"/>
      <c r="AB52" s="41">
        <f t="shared" si="6"/>
        <v>700</v>
      </c>
      <c r="AC52" s="39">
        <v>4.1020000000000003</v>
      </c>
    </row>
    <row r="53" spans="1:29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R53" s="23">
        <v>31</v>
      </c>
      <c r="S53" s="41">
        <f t="shared" si="7"/>
        <v>710</v>
      </c>
      <c r="T53" s="36"/>
      <c r="V53" s="41">
        <f t="shared" si="4"/>
        <v>710</v>
      </c>
      <c r="W53" s="36"/>
      <c r="Y53" s="41">
        <f t="shared" si="5"/>
        <v>710</v>
      </c>
      <c r="Z53" s="39"/>
      <c r="AB53" s="41">
        <f t="shared" si="6"/>
        <v>710</v>
      </c>
      <c r="AC53" s="39">
        <v>4.1020000000000003</v>
      </c>
    </row>
    <row r="54" spans="1:29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R54" s="23">
        <v>32</v>
      </c>
      <c r="S54" s="41">
        <f t="shared" si="7"/>
        <v>720</v>
      </c>
      <c r="T54" s="36"/>
      <c r="V54" s="41">
        <f t="shared" si="4"/>
        <v>720</v>
      </c>
      <c r="W54" s="36"/>
      <c r="Y54" s="41">
        <f t="shared" si="5"/>
        <v>720</v>
      </c>
      <c r="Z54" s="39"/>
      <c r="AB54" s="41">
        <f t="shared" si="6"/>
        <v>720</v>
      </c>
      <c r="AC54" s="39">
        <v>4.1020000000000003</v>
      </c>
    </row>
    <row r="55" spans="1:29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R55" s="23">
        <v>33</v>
      </c>
      <c r="S55" s="41">
        <f t="shared" si="7"/>
        <v>730</v>
      </c>
      <c r="T55" s="36"/>
      <c r="V55" s="41">
        <f t="shared" si="4"/>
        <v>730</v>
      </c>
      <c r="W55" s="36"/>
      <c r="Y55" s="41">
        <f t="shared" si="5"/>
        <v>730</v>
      </c>
      <c r="Z55" s="39"/>
      <c r="AB55" s="41">
        <f t="shared" si="6"/>
        <v>730</v>
      </c>
      <c r="AC55" s="39">
        <v>4.1020000000000003</v>
      </c>
    </row>
    <row r="56" spans="1:29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R56" s="23">
        <v>34</v>
      </c>
      <c r="S56" s="41">
        <f t="shared" si="7"/>
        <v>740</v>
      </c>
      <c r="T56" s="36"/>
      <c r="V56" s="41">
        <f t="shared" si="4"/>
        <v>740</v>
      </c>
      <c r="W56" s="36"/>
      <c r="Y56" s="41">
        <f t="shared" si="5"/>
        <v>740</v>
      </c>
      <c r="Z56" s="39"/>
      <c r="AB56" s="41">
        <f t="shared" si="6"/>
        <v>740</v>
      </c>
      <c r="AC56" s="39">
        <v>4.1020000000000003</v>
      </c>
    </row>
    <row r="57" spans="1:29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R57" s="23">
        <v>35</v>
      </c>
      <c r="S57" s="41">
        <f t="shared" si="7"/>
        <v>750</v>
      </c>
      <c r="T57" s="36"/>
      <c r="V57" s="41">
        <f t="shared" si="4"/>
        <v>750</v>
      </c>
      <c r="W57" s="36"/>
      <c r="Y57" s="41">
        <f t="shared" si="5"/>
        <v>750</v>
      </c>
      <c r="Z57" s="39"/>
      <c r="AB57" s="41">
        <f t="shared" si="6"/>
        <v>750</v>
      </c>
      <c r="AC57" s="39">
        <v>4.1020000000000003</v>
      </c>
    </row>
    <row r="58" spans="1:29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R58" s="23">
        <v>36</v>
      </c>
      <c r="S58" s="41">
        <f t="shared" si="7"/>
        <v>760</v>
      </c>
      <c r="T58" s="36"/>
      <c r="V58" s="41">
        <f t="shared" si="4"/>
        <v>760</v>
      </c>
      <c r="W58" s="36"/>
      <c r="Y58" s="41">
        <f t="shared" si="5"/>
        <v>760</v>
      </c>
      <c r="Z58" s="39"/>
      <c r="AB58" s="41">
        <f t="shared" si="6"/>
        <v>760</v>
      </c>
      <c r="AC58" s="39">
        <v>4.1020000000000003</v>
      </c>
    </row>
    <row r="59" spans="1:29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R59" s="23">
        <v>37</v>
      </c>
      <c r="S59" s="41">
        <f t="shared" si="7"/>
        <v>770</v>
      </c>
      <c r="T59" s="36"/>
      <c r="V59" s="41">
        <f t="shared" si="4"/>
        <v>770</v>
      </c>
      <c r="W59" s="36"/>
      <c r="Y59" s="41">
        <f t="shared" si="5"/>
        <v>770</v>
      </c>
      <c r="Z59" s="39"/>
      <c r="AB59" s="41">
        <f t="shared" si="6"/>
        <v>770</v>
      </c>
      <c r="AC59" s="39">
        <v>4.1020000000000003</v>
      </c>
    </row>
    <row r="60" spans="1:29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R60" s="23">
        <v>38</v>
      </c>
      <c r="S60" s="41">
        <f t="shared" si="7"/>
        <v>780</v>
      </c>
      <c r="T60" s="36"/>
      <c r="V60" s="41">
        <f t="shared" si="4"/>
        <v>780</v>
      </c>
      <c r="W60" s="36"/>
      <c r="Y60" s="41">
        <f t="shared" si="5"/>
        <v>780</v>
      </c>
      <c r="Z60" s="39"/>
      <c r="AB60" s="41">
        <f t="shared" si="6"/>
        <v>780</v>
      </c>
      <c r="AC60" s="39">
        <v>4.1020000000000003</v>
      </c>
    </row>
    <row r="61" spans="1:29" x14ac:dyDescent="0.25">
      <c r="R61" s="23">
        <v>39</v>
      </c>
      <c r="S61" s="41">
        <f t="shared" si="7"/>
        <v>790</v>
      </c>
      <c r="T61" s="36"/>
      <c r="V61" s="41">
        <f t="shared" si="4"/>
        <v>790</v>
      </c>
      <c r="W61" s="36"/>
      <c r="Y61" s="41">
        <f t="shared" si="5"/>
        <v>790</v>
      </c>
      <c r="Z61" s="39"/>
      <c r="AB61" s="41">
        <f t="shared" si="6"/>
        <v>790</v>
      </c>
      <c r="AC61" s="39">
        <v>4.1020000000000003</v>
      </c>
    </row>
    <row r="62" spans="1:29" x14ac:dyDescent="0.25">
      <c r="R62" s="23">
        <v>40</v>
      </c>
      <c r="S62" s="41">
        <f t="shared" si="7"/>
        <v>800</v>
      </c>
      <c r="T62" s="36"/>
      <c r="V62" s="41">
        <f t="shared" si="4"/>
        <v>800</v>
      </c>
      <c r="W62" s="36"/>
      <c r="Y62" s="41">
        <f t="shared" si="5"/>
        <v>800</v>
      </c>
      <c r="Z62" s="39"/>
      <c r="AB62" s="41">
        <f t="shared" si="6"/>
        <v>800</v>
      </c>
      <c r="AC62" s="39">
        <v>4.1020000000000003</v>
      </c>
    </row>
    <row r="63" spans="1:29" x14ac:dyDescent="0.25">
      <c r="R63" s="23">
        <v>41</v>
      </c>
      <c r="S63" s="41">
        <f t="shared" si="7"/>
        <v>810</v>
      </c>
      <c r="T63" s="36"/>
      <c r="V63" s="41">
        <f t="shared" si="4"/>
        <v>810</v>
      </c>
      <c r="W63" s="36"/>
      <c r="Y63" s="41">
        <f t="shared" si="5"/>
        <v>810</v>
      </c>
      <c r="Z63" s="39"/>
      <c r="AB63" s="41">
        <f t="shared" si="6"/>
        <v>810</v>
      </c>
      <c r="AC63" s="39">
        <v>4.1020000000000003</v>
      </c>
    </row>
    <row r="64" spans="1:29" x14ac:dyDescent="0.25">
      <c r="R64" s="23">
        <v>42</v>
      </c>
      <c r="S64" s="41">
        <f t="shared" si="7"/>
        <v>820</v>
      </c>
      <c r="T64" s="36"/>
      <c r="V64" s="41">
        <f t="shared" si="4"/>
        <v>820</v>
      </c>
      <c r="W64" s="36"/>
      <c r="Y64" s="41">
        <f t="shared" si="5"/>
        <v>820</v>
      </c>
      <c r="Z64" s="39"/>
      <c r="AB64" s="41">
        <f t="shared" si="6"/>
        <v>820</v>
      </c>
      <c r="AC64" s="39">
        <v>4.1020000000000003</v>
      </c>
    </row>
    <row r="65" spans="18:29" x14ac:dyDescent="0.25">
      <c r="R65" s="23">
        <v>43</v>
      </c>
      <c r="S65" s="41">
        <f t="shared" si="7"/>
        <v>830</v>
      </c>
      <c r="T65" s="36"/>
      <c r="V65" s="41">
        <f t="shared" si="4"/>
        <v>830</v>
      </c>
      <c r="W65" s="36"/>
      <c r="Y65" s="41">
        <f t="shared" si="5"/>
        <v>830</v>
      </c>
      <c r="Z65" s="39"/>
      <c r="AB65" s="41">
        <f t="shared" si="6"/>
        <v>830</v>
      </c>
      <c r="AC65" s="39">
        <v>4.1020000000000003</v>
      </c>
    </row>
    <row r="66" spans="18:29" x14ac:dyDescent="0.25">
      <c r="R66" s="23">
        <v>44</v>
      </c>
      <c r="S66" s="41">
        <f t="shared" si="7"/>
        <v>840</v>
      </c>
      <c r="T66" s="36"/>
      <c r="V66" s="41">
        <f t="shared" si="4"/>
        <v>840</v>
      </c>
      <c r="W66" s="36"/>
      <c r="Y66" s="41">
        <f t="shared" si="5"/>
        <v>840</v>
      </c>
      <c r="Z66" s="39"/>
      <c r="AB66" s="41">
        <f t="shared" si="6"/>
        <v>840</v>
      </c>
      <c r="AC66" s="39">
        <v>4.1020000000000003</v>
      </c>
    </row>
    <row r="67" spans="18:29" x14ac:dyDescent="0.25">
      <c r="R67" s="23">
        <v>45</v>
      </c>
      <c r="S67" s="41">
        <f t="shared" si="7"/>
        <v>850</v>
      </c>
      <c r="T67" s="36"/>
      <c r="V67" s="41">
        <f t="shared" si="4"/>
        <v>850</v>
      </c>
      <c r="W67" s="36"/>
      <c r="Y67" s="41">
        <f t="shared" si="5"/>
        <v>850</v>
      </c>
      <c r="Z67" s="39"/>
      <c r="AB67" s="41">
        <f t="shared" si="6"/>
        <v>850</v>
      </c>
      <c r="AC67" s="39">
        <v>4.1020000000000003</v>
      </c>
    </row>
    <row r="68" spans="18:29" x14ac:dyDescent="0.25">
      <c r="R68" s="23">
        <v>46</v>
      </c>
      <c r="S68" s="41">
        <f t="shared" si="7"/>
        <v>860</v>
      </c>
      <c r="T68" s="36"/>
      <c r="V68" s="41">
        <f t="shared" si="4"/>
        <v>860</v>
      </c>
      <c r="W68" s="36"/>
      <c r="Y68" s="41">
        <f t="shared" si="5"/>
        <v>860</v>
      </c>
      <c r="Z68" s="39"/>
      <c r="AB68" s="41">
        <f t="shared" si="6"/>
        <v>860</v>
      </c>
      <c r="AC68" s="39">
        <v>4.1020000000000003</v>
      </c>
    </row>
    <row r="69" spans="18:29" x14ac:dyDescent="0.25">
      <c r="R69" s="23">
        <v>47</v>
      </c>
      <c r="S69" s="41">
        <f t="shared" si="7"/>
        <v>870</v>
      </c>
      <c r="T69" s="36"/>
      <c r="V69" s="41">
        <f t="shared" si="4"/>
        <v>870</v>
      </c>
      <c r="W69" s="36"/>
      <c r="Y69" s="41">
        <f t="shared" si="5"/>
        <v>870</v>
      </c>
      <c r="Z69" s="39"/>
      <c r="AB69" s="41">
        <f t="shared" si="6"/>
        <v>870</v>
      </c>
      <c r="AC69" s="39">
        <v>4.1020000000000003</v>
      </c>
    </row>
    <row r="70" spans="18:29" x14ac:dyDescent="0.25">
      <c r="R70" s="23">
        <v>48</v>
      </c>
      <c r="S70" s="41">
        <f t="shared" si="7"/>
        <v>880</v>
      </c>
      <c r="T70" s="36"/>
      <c r="V70" s="41">
        <f t="shared" si="4"/>
        <v>880</v>
      </c>
      <c r="W70" s="36"/>
      <c r="Y70" s="41">
        <f t="shared" si="5"/>
        <v>880</v>
      </c>
      <c r="Z70" s="39"/>
      <c r="AB70" s="41">
        <f t="shared" si="6"/>
        <v>880</v>
      </c>
      <c r="AC70" s="39">
        <v>4.1020000000000003</v>
      </c>
    </row>
    <row r="71" spans="18:29" x14ac:dyDescent="0.25">
      <c r="R71" s="23">
        <v>49</v>
      </c>
      <c r="S71" s="41">
        <f t="shared" si="7"/>
        <v>890</v>
      </c>
      <c r="T71" s="36"/>
      <c r="V71" s="41">
        <f t="shared" si="4"/>
        <v>890</v>
      </c>
      <c r="W71" s="36"/>
      <c r="Y71" s="41">
        <f t="shared" si="5"/>
        <v>890</v>
      </c>
      <c r="Z71" s="39"/>
      <c r="AB71" s="41">
        <f t="shared" si="6"/>
        <v>890</v>
      </c>
      <c r="AC71" s="39">
        <v>4.1020000000000003</v>
      </c>
    </row>
    <row r="72" spans="18:29" x14ac:dyDescent="0.25">
      <c r="R72" s="23">
        <v>50</v>
      </c>
      <c r="S72" s="41">
        <f t="shared" si="7"/>
        <v>900</v>
      </c>
      <c r="T72" s="36"/>
      <c r="V72" s="41">
        <f t="shared" si="4"/>
        <v>900</v>
      </c>
      <c r="W72" s="36"/>
      <c r="Y72" s="41">
        <f t="shared" si="5"/>
        <v>900</v>
      </c>
      <c r="Z72" s="39"/>
      <c r="AB72" s="41">
        <f t="shared" si="6"/>
        <v>900</v>
      </c>
      <c r="AC72" s="39">
        <v>4.1020000000000003</v>
      </c>
    </row>
    <row r="73" spans="18:29" x14ac:dyDescent="0.25">
      <c r="R73" s="23">
        <v>51</v>
      </c>
      <c r="S73" s="41">
        <f t="shared" si="7"/>
        <v>910</v>
      </c>
      <c r="T73" s="36"/>
      <c r="V73" s="41">
        <f t="shared" si="4"/>
        <v>910</v>
      </c>
      <c r="W73" s="36"/>
      <c r="Y73" s="41">
        <f t="shared" si="5"/>
        <v>910</v>
      </c>
      <c r="Z73" s="39"/>
      <c r="AB73" s="41">
        <f t="shared" si="6"/>
        <v>910</v>
      </c>
      <c r="AC73" s="39">
        <v>4.1020000000000003</v>
      </c>
    </row>
    <row r="74" spans="18:29" x14ac:dyDescent="0.25">
      <c r="R74" s="23">
        <v>52</v>
      </c>
      <c r="S74" s="41">
        <f t="shared" si="7"/>
        <v>920</v>
      </c>
      <c r="T74" s="36"/>
      <c r="V74" s="41">
        <f t="shared" si="4"/>
        <v>920</v>
      </c>
      <c r="W74" s="36"/>
      <c r="Y74" s="41">
        <f t="shared" si="5"/>
        <v>920</v>
      </c>
      <c r="Z74" s="39"/>
      <c r="AB74" s="41">
        <f t="shared" si="6"/>
        <v>920</v>
      </c>
      <c r="AC74" s="39">
        <v>4.1020000000000003</v>
      </c>
    </row>
    <row r="75" spans="18:29" x14ac:dyDescent="0.25">
      <c r="R75" s="23">
        <v>53</v>
      </c>
      <c r="S75" s="41">
        <f t="shared" si="7"/>
        <v>930</v>
      </c>
      <c r="T75" s="36"/>
      <c r="V75" s="41">
        <f t="shared" ref="V75:V119" si="8">S75</f>
        <v>930</v>
      </c>
      <c r="W75" s="36"/>
      <c r="Y75" s="41">
        <f t="shared" ref="Y75:Y119" si="9">S75</f>
        <v>930</v>
      </c>
      <c r="Z75" s="39"/>
      <c r="AB75" s="41">
        <f t="shared" ref="AB75:AB119" si="10">S75</f>
        <v>930</v>
      </c>
      <c r="AC75" s="39">
        <v>4.1020000000000003</v>
      </c>
    </row>
    <row r="76" spans="18:29" x14ac:dyDescent="0.25">
      <c r="R76" s="23">
        <v>54</v>
      </c>
      <c r="S76" s="41">
        <f t="shared" ref="S76:S119" si="11">10+S75</f>
        <v>940</v>
      </c>
      <c r="T76" s="36"/>
      <c r="V76" s="41">
        <f t="shared" si="8"/>
        <v>940</v>
      </c>
      <c r="W76" s="36"/>
      <c r="Y76" s="41">
        <f t="shared" si="9"/>
        <v>940</v>
      </c>
      <c r="Z76" s="39"/>
      <c r="AB76" s="41">
        <f t="shared" si="10"/>
        <v>940</v>
      </c>
      <c r="AC76" s="39">
        <v>4.1020000000000003</v>
      </c>
    </row>
    <row r="77" spans="18:29" x14ac:dyDescent="0.25">
      <c r="R77" s="23">
        <v>55</v>
      </c>
      <c r="S77" s="41">
        <f t="shared" si="11"/>
        <v>950</v>
      </c>
      <c r="T77" s="36"/>
      <c r="V77" s="41">
        <f t="shared" si="8"/>
        <v>950</v>
      </c>
      <c r="W77" s="36"/>
      <c r="Y77" s="41">
        <f t="shared" si="9"/>
        <v>950</v>
      </c>
      <c r="Z77" s="39"/>
      <c r="AB77" s="41">
        <f t="shared" si="10"/>
        <v>950</v>
      </c>
      <c r="AC77" s="39">
        <v>4.1020000000000003</v>
      </c>
    </row>
    <row r="78" spans="18:29" x14ac:dyDescent="0.25">
      <c r="R78" s="23">
        <v>56</v>
      </c>
      <c r="S78" s="41">
        <f t="shared" si="11"/>
        <v>960</v>
      </c>
      <c r="T78" s="36"/>
      <c r="V78" s="41">
        <f t="shared" si="8"/>
        <v>960</v>
      </c>
      <c r="W78" s="36"/>
      <c r="Y78" s="41">
        <f t="shared" si="9"/>
        <v>960</v>
      </c>
      <c r="Z78" s="39"/>
      <c r="AB78" s="41">
        <f t="shared" si="10"/>
        <v>960</v>
      </c>
      <c r="AC78" s="39">
        <v>4.1020000000000003</v>
      </c>
    </row>
    <row r="79" spans="18:29" x14ac:dyDescent="0.25">
      <c r="R79" s="23">
        <v>57</v>
      </c>
      <c r="S79" s="41">
        <f t="shared" si="11"/>
        <v>970</v>
      </c>
      <c r="T79" s="36"/>
      <c r="V79" s="41">
        <f t="shared" si="8"/>
        <v>970</v>
      </c>
      <c r="W79" s="36"/>
      <c r="Y79" s="41">
        <f t="shared" si="9"/>
        <v>970</v>
      </c>
      <c r="Z79" s="39"/>
      <c r="AB79" s="41">
        <f t="shared" si="10"/>
        <v>970</v>
      </c>
      <c r="AC79" s="39">
        <v>4.1020000000000003</v>
      </c>
    </row>
    <row r="80" spans="18:29" x14ac:dyDescent="0.25">
      <c r="R80" s="23">
        <v>58</v>
      </c>
      <c r="S80" s="41">
        <f t="shared" si="11"/>
        <v>980</v>
      </c>
      <c r="T80" s="36"/>
      <c r="V80" s="41">
        <f t="shared" si="8"/>
        <v>980</v>
      </c>
      <c r="W80" s="36"/>
      <c r="Y80" s="41">
        <f t="shared" si="9"/>
        <v>980</v>
      </c>
      <c r="Z80" s="39"/>
      <c r="AB80" s="41">
        <f t="shared" si="10"/>
        <v>980</v>
      </c>
      <c r="AC80" s="39">
        <v>4.1020000000000003</v>
      </c>
    </row>
    <row r="81" spans="18:29" x14ac:dyDescent="0.25">
      <c r="R81" s="23">
        <v>59</v>
      </c>
      <c r="S81" s="41">
        <f t="shared" si="11"/>
        <v>990</v>
      </c>
      <c r="T81" s="36"/>
      <c r="V81" s="41">
        <f t="shared" si="8"/>
        <v>990</v>
      </c>
      <c r="W81" s="36"/>
      <c r="Y81" s="41">
        <f t="shared" si="9"/>
        <v>990</v>
      </c>
      <c r="Z81" s="39"/>
      <c r="AB81" s="41">
        <f t="shared" si="10"/>
        <v>990</v>
      </c>
      <c r="AC81" s="39">
        <v>4.1020000000000003</v>
      </c>
    </row>
    <row r="82" spans="18:29" x14ac:dyDescent="0.25">
      <c r="R82" s="23">
        <v>60</v>
      </c>
      <c r="S82" s="41">
        <f t="shared" si="11"/>
        <v>1000</v>
      </c>
      <c r="T82" s="36"/>
      <c r="V82" s="41">
        <f t="shared" si="8"/>
        <v>1000</v>
      </c>
      <c r="W82" s="36"/>
      <c r="Y82" s="41">
        <f t="shared" si="9"/>
        <v>1000</v>
      </c>
      <c r="Z82" s="39"/>
      <c r="AB82" s="41">
        <f t="shared" si="10"/>
        <v>1000</v>
      </c>
      <c r="AC82" s="39">
        <v>4.1020000000000003</v>
      </c>
    </row>
    <row r="83" spans="18:29" x14ac:dyDescent="0.25">
      <c r="R83" s="23">
        <v>61</v>
      </c>
      <c r="S83" s="41">
        <f t="shared" si="11"/>
        <v>1010</v>
      </c>
      <c r="T83" s="36"/>
      <c r="V83" s="41">
        <f t="shared" si="8"/>
        <v>1010</v>
      </c>
      <c r="W83" s="36"/>
      <c r="Y83" s="41">
        <f t="shared" si="9"/>
        <v>1010</v>
      </c>
      <c r="Z83" s="39"/>
      <c r="AB83" s="41">
        <f t="shared" si="10"/>
        <v>1010</v>
      </c>
      <c r="AC83" s="39">
        <v>4.1020000000000003</v>
      </c>
    </row>
    <row r="84" spans="18:29" x14ac:dyDescent="0.25">
      <c r="R84" s="23">
        <v>62</v>
      </c>
      <c r="S84" s="41">
        <f t="shared" si="11"/>
        <v>1020</v>
      </c>
      <c r="T84" s="36"/>
      <c r="V84" s="41">
        <f t="shared" si="8"/>
        <v>1020</v>
      </c>
      <c r="W84" s="36"/>
      <c r="Y84" s="41">
        <f t="shared" si="9"/>
        <v>1020</v>
      </c>
      <c r="Z84" s="39"/>
      <c r="AB84" s="41">
        <f t="shared" si="10"/>
        <v>1020</v>
      </c>
      <c r="AC84" s="39">
        <v>4.1020000000000003</v>
      </c>
    </row>
    <row r="85" spans="18:29" x14ac:dyDescent="0.25">
      <c r="R85" s="23">
        <v>63</v>
      </c>
      <c r="S85" s="41">
        <f t="shared" si="11"/>
        <v>1030</v>
      </c>
      <c r="T85" s="36"/>
      <c r="V85" s="41">
        <f t="shared" si="8"/>
        <v>1030</v>
      </c>
      <c r="W85" s="36"/>
      <c r="Y85" s="41">
        <f t="shared" si="9"/>
        <v>1030</v>
      </c>
      <c r="Z85" s="39"/>
      <c r="AB85" s="41">
        <f t="shared" si="10"/>
        <v>1030</v>
      </c>
      <c r="AC85" s="39">
        <v>4.1020000000000003</v>
      </c>
    </row>
    <row r="86" spans="18:29" x14ac:dyDescent="0.25">
      <c r="R86" s="23">
        <v>64</v>
      </c>
      <c r="S86" s="41">
        <f t="shared" si="11"/>
        <v>1040</v>
      </c>
      <c r="T86" s="36"/>
      <c r="V86" s="41">
        <f t="shared" si="8"/>
        <v>1040</v>
      </c>
      <c r="W86" s="36"/>
      <c r="Y86" s="41">
        <f t="shared" si="9"/>
        <v>1040</v>
      </c>
      <c r="Z86" s="39"/>
      <c r="AB86" s="41">
        <f t="shared" si="10"/>
        <v>1040</v>
      </c>
      <c r="AC86" s="39">
        <v>4.1020000000000003</v>
      </c>
    </row>
    <row r="87" spans="18:29" x14ac:dyDescent="0.25">
      <c r="R87" s="23">
        <v>65</v>
      </c>
      <c r="S87" s="41">
        <f t="shared" si="11"/>
        <v>1050</v>
      </c>
      <c r="T87" s="36"/>
      <c r="V87" s="41">
        <f t="shared" si="8"/>
        <v>1050</v>
      </c>
      <c r="W87" s="36"/>
      <c r="Y87" s="41">
        <f t="shared" si="9"/>
        <v>1050</v>
      </c>
      <c r="Z87" s="39"/>
      <c r="AB87" s="41">
        <f t="shared" si="10"/>
        <v>1050</v>
      </c>
      <c r="AC87" s="39">
        <v>4.1020000000000003</v>
      </c>
    </row>
    <row r="88" spans="18:29" x14ac:dyDescent="0.25">
      <c r="R88" s="23">
        <v>66</v>
      </c>
      <c r="S88" s="41">
        <f t="shared" si="11"/>
        <v>1060</v>
      </c>
      <c r="T88" s="36"/>
      <c r="V88" s="41">
        <f t="shared" si="8"/>
        <v>1060</v>
      </c>
      <c r="W88" s="36"/>
      <c r="Y88" s="41">
        <f t="shared" si="9"/>
        <v>1060</v>
      </c>
      <c r="Z88" s="39"/>
      <c r="AB88" s="41">
        <f t="shared" si="10"/>
        <v>1060</v>
      </c>
      <c r="AC88" s="39">
        <v>4.1020000000000003</v>
      </c>
    </row>
    <row r="89" spans="18:29" x14ac:dyDescent="0.25">
      <c r="R89" s="23">
        <v>67</v>
      </c>
      <c r="S89" s="41">
        <f t="shared" si="11"/>
        <v>1070</v>
      </c>
      <c r="T89" s="36"/>
      <c r="V89" s="41">
        <f t="shared" si="8"/>
        <v>1070</v>
      </c>
      <c r="W89" s="36"/>
      <c r="Y89" s="41">
        <f t="shared" si="9"/>
        <v>1070</v>
      </c>
      <c r="Z89" s="39"/>
      <c r="AB89" s="41">
        <f t="shared" si="10"/>
        <v>1070</v>
      </c>
      <c r="AC89" s="39">
        <v>4.1020000000000003</v>
      </c>
    </row>
    <row r="90" spans="18:29" x14ac:dyDescent="0.25">
      <c r="R90" s="23">
        <v>68</v>
      </c>
      <c r="S90" s="41">
        <f t="shared" si="11"/>
        <v>1080</v>
      </c>
      <c r="T90" s="36"/>
      <c r="V90" s="41">
        <f t="shared" si="8"/>
        <v>1080</v>
      </c>
      <c r="W90" s="36"/>
      <c r="Y90" s="41">
        <f t="shared" si="9"/>
        <v>1080</v>
      </c>
      <c r="Z90" s="39"/>
      <c r="AB90" s="41">
        <f t="shared" si="10"/>
        <v>1080</v>
      </c>
      <c r="AC90" s="39">
        <v>4.1020000000000003</v>
      </c>
    </row>
    <row r="91" spans="18:29" x14ac:dyDescent="0.25">
      <c r="R91" s="23">
        <v>69</v>
      </c>
      <c r="S91" s="41">
        <f t="shared" si="11"/>
        <v>1090</v>
      </c>
      <c r="T91" s="36"/>
      <c r="V91" s="41">
        <f t="shared" si="8"/>
        <v>1090</v>
      </c>
      <c r="W91" s="36"/>
      <c r="Y91" s="41">
        <f t="shared" si="9"/>
        <v>1090</v>
      </c>
      <c r="Z91" s="39"/>
      <c r="AB91" s="41">
        <f t="shared" si="10"/>
        <v>1090</v>
      </c>
      <c r="AC91" s="39">
        <v>4.1020000000000003</v>
      </c>
    </row>
    <row r="92" spans="18:29" x14ac:dyDescent="0.25">
      <c r="R92" s="23">
        <v>70</v>
      </c>
      <c r="S92" s="41">
        <f t="shared" si="11"/>
        <v>1100</v>
      </c>
      <c r="T92" s="36"/>
      <c r="V92" s="41">
        <f t="shared" si="8"/>
        <v>1100</v>
      </c>
      <c r="W92" s="36"/>
      <c r="Y92" s="41">
        <f t="shared" si="9"/>
        <v>1100</v>
      </c>
      <c r="Z92" s="39"/>
      <c r="AB92" s="41">
        <f t="shared" si="10"/>
        <v>1100</v>
      </c>
      <c r="AC92" s="39">
        <v>4.1020000000000003</v>
      </c>
    </row>
    <row r="93" spans="18:29" x14ac:dyDescent="0.25">
      <c r="R93" s="23">
        <v>71</v>
      </c>
      <c r="S93" s="41">
        <f t="shared" si="11"/>
        <v>1110</v>
      </c>
      <c r="T93" s="36"/>
      <c r="V93" s="41">
        <f t="shared" si="8"/>
        <v>1110</v>
      </c>
      <c r="W93" s="36"/>
      <c r="Y93" s="41">
        <f t="shared" si="9"/>
        <v>1110</v>
      </c>
      <c r="Z93" s="39"/>
      <c r="AB93" s="41">
        <f t="shared" si="10"/>
        <v>1110</v>
      </c>
      <c r="AC93" s="39">
        <v>4.1020000000000003</v>
      </c>
    </row>
    <row r="94" spans="18:29" x14ac:dyDescent="0.25">
      <c r="R94" s="23">
        <v>72</v>
      </c>
      <c r="S94" s="41">
        <f t="shared" si="11"/>
        <v>1120</v>
      </c>
      <c r="T94" s="36"/>
      <c r="V94" s="41">
        <f t="shared" si="8"/>
        <v>1120</v>
      </c>
      <c r="W94" s="36"/>
      <c r="Y94" s="41">
        <f t="shared" si="9"/>
        <v>1120</v>
      </c>
      <c r="Z94" s="39"/>
      <c r="AB94" s="41">
        <f t="shared" si="10"/>
        <v>1120</v>
      </c>
      <c r="AC94" s="39">
        <v>4.1020000000000003</v>
      </c>
    </row>
    <row r="95" spans="18:29" x14ac:dyDescent="0.25">
      <c r="R95" s="23">
        <v>73</v>
      </c>
      <c r="S95" s="41">
        <f t="shared" si="11"/>
        <v>1130</v>
      </c>
      <c r="T95" s="36"/>
      <c r="V95" s="41">
        <f t="shared" si="8"/>
        <v>1130</v>
      </c>
      <c r="W95" s="36"/>
      <c r="Y95" s="41">
        <f t="shared" si="9"/>
        <v>1130</v>
      </c>
      <c r="Z95" s="39"/>
      <c r="AB95" s="41">
        <f t="shared" si="10"/>
        <v>1130</v>
      </c>
      <c r="AC95" s="39">
        <v>4.1020000000000003</v>
      </c>
    </row>
    <row r="96" spans="18:29" x14ac:dyDescent="0.25">
      <c r="R96" s="23">
        <v>74</v>
      </c>
      <c r="S96" s="41">
        <f t="shared" si="11"/>
        <v>1140</v>
      </c>
      <c r="T96" s="36"/>
      <c r="V96" s="41">
        <f t="shared" si="8"/>
        <v>1140</v>
      </c>
      <c r="W96" s="36"/>
      <c r="Y96" s="41">
        <f t="shared" si="9"/>
        <v>1140</v>
      </c>
      <c r="Z96" s="39"/>
      <c r="AB96" s="41">
        <f t="shared" si="10"/>
        <v>1140</v>
      </c>
      <c r="AC96" s="39">
        <v>4.1020000000000003</v>
      </c>
    </row>
    <row r="97" spans="18:29" x14ac:dyDescent="0.25">
      <c r="R97" s="23">
        <v>75</v>
      </c>
      <c r="S97" s="41">
        <f t="shared" si="11"/>
        <v>1150</v>
      </c>
      <c r="T97" s="36"/>
      <c r="V97" s="41">
        <f t="shared" si="8"/>
        <v>1150</v>
      </c>
      <c r="W97" s="36"/>
      <c r="Y97" s="41">
        <f t="shared" si="9"/>
        <v>1150</v>
      </c>
      <c r="Z97" s="39"/>
      <c r="AB97" s="41">
        <f t="shared" si="10"/>
        <v>1150</v>
      </c>
      <c r="AC97" s="39">
        <v>4.1020000000000003</v>
      </c>
    </row>
    <row r="98" spans="18:29" x14ac:dyDescent="0.25">
      <c r="R98" s="23">
        <v>76</v>
      </c>
      <c r="S98" s="41">
        <f t="shared" si="11"/>
        <v>1160</v>
      </c>
      <c r="T98" s="36"/>
      <c r="V98" s="41">
        <f t="shared" si="8"/>
        <v>1160</v>
      </c>
      <c r="W98" s="36"/>
      <c r="Y98" s="41">
        <f t="shared" si="9"/>
        <v>1160</v>
      </c>
      <c r="Z98" s="39"/>
      <c r="AB98" s="41">
        <f t="shared" si="10"/>
        <v>1160</v>
      </c>
      <c r="AC98" s="39">
        <v>4.1020000000000003</v>
      </c>
    </row>
    <row r="99" spans="18:29" x14ac:dyDescent="0.25">
      <c r="R99" s="23">
        <v>77</v>
      </c>
      <c r="S99" s="41">
        <f t="shared" si="11"/>
        <v>1170</v>
      </c>
      <c r="T99" s="36"/>
      <c r="V99" s="41">
        <f t="shared" si="8"/>
        <v>1170</v>
      </c>
      <c r="W99" s="36"/>
      <c r="Y99" s="41">
        <f t="shared" si="9"/>
        <v>1170</v>
      </c>
      <c r="Z99" s="39"/>
      <c r="AB99" s="41">
        <f t="shared" si="10"/>
        <v>1170</v>
      </c>
      <c r="AC99" s="39">
        <v>4.1020000000000003</v>
      </c>
    </row>
    <row r="100" spans="18:29" x14ac:dyDescent="0.25">
      <c r="R100" s="23">
        <v>78</v>
      </c>
      <c r="S100" s="41">
        <f t="shared" si="11"/>
        <v>1180</v>
      </c>
      <c r="T100" s="36"/>
      <c r="V100" s="41">
        <f t="shared" si="8"/>
        <v>1180</v>
      </c>
      <c r="W100" s="36"/>
      <c r="Y100" s="41">
        <f t="shared" si="9"/>
        <v>1180</v>
      </c>
      <c r="Z100" s="39"/>
      <c r="AB100" s="41">
        <f t="shared" si="10"/>
        <v>1180</v>
      </c>
      <c r="AC100" s="39">
        <v>4.1020000000000003</v>
      </c>
    </row>
    <row r="101" spans="18:29" x14ac:dyDescent="0.25">
      <c r="R101" s="23">
        <v>79</v>
      </c>
      <c r="S101" s="41">
        <f t="shared" si="11"/>
        <v>1190</v>
      </c>
      <c r="T101" s="36"/>
      <c r="V101" s="41">
        <f t="shared" si="8"/>
        <v>1190</v>
      </c>
      <c r="W101" s="36"/>
      <c r="Y101" s="41">
        <f t="shared" si="9"/>
        <v>1190</v>
      </c>
      <c r="Z101" s="39"/>
      <c r="AB101" s="41">
        <f t="shared" si="10"/>
        <v>1190</v>
      </c>
      <c r="AC101" s="39">
        <v>4.1020000000000003</v>
      </c>
    </row>
    <row r="102" spans="18:29" x14ac:dyDescent="0.25">
      <c r="R102" s="23">
        <v>80</v>
      </c>
      <c r="S102" s="41">
        <f t="shared" si="11"/>
        <v>1200</v>
      </c>
      <c r="T102" s="36"/>
      <c r="V102" s="41">
        <f t="shared" si="8"/>
        <v>1200</v>
      </c>
      <c r="W102" s="36"/>
      <c r="Y102" s="41">
        <f t="shared" si="9"/>
        <v>1200</v>
      </c>
      <c r="Z102" s="39"/>
      <c r="AB102" s="41">
        <f t="shared" si="10"/>
        <v>1200</v>
      </c>
      <c r="AC102" s="39">
        <v>4.1020000000000003</v>
      </c>
    </row>
    <row r="103" spans="18:29" x14ac:dyDescent="0.25">
      <c r="R103" s="23">
        <v>81</v>
      </c>
      <c r="S103" s="41">
        <f t="shared" si="11"/>
        <v>1210</v>
      </c>
      <c r="T103" s="36"/>
      <c r="V103" s="41">
        <f t="shared" si="8"/>
        <v>1210</v>
      </c>
      <c r="W103" s="36"/>
      <c r="Y103" s="41">
        <f t="shared" si="9"/>
        <v>1210</v>
      </c>
      <c r="Z103" s="39"/>
      <c r="AB103" s="41">
        <f t="shared" si="10"/>
        <v>1210</v>
      </c>
      <c r="AC103" s="39">
        <v>4.1020000000000003</v>
      </c>
    </row>
    <row r="104" spans="18:29" x14ac:dyDescent="0.25">
      <c r="R104" s="23">
        <v>82</v>
      </c>
      <c r="S104" s="41">
        <f t="shared" si="11"/>
        <v>1220</v>
      </c>
      <c r="T104" s="36"/>
      <c r="V104" s="41">
        <f t="shared" si="8"/>
        <v>1220</v>
      </c>
      <c r="W104" s="36"/>
      <c r="Y104" s="41">
        <f t="shared" si="9"/>
        <v>1220</v>
      </c>
      <c r="Z104" s="39"/>
      <c r="AB104" s="41">
        <f t="shared" si="10"/>
        <v>1220</v>
      </c>
      <c r="AC104" s="39">
        <v>4.1020000000000003</v>
      </c>
    </row>
    <row r="105" spans="18:29" x14ac:dyDescent="0.25">
      <c r="R105" s="23">
        <v>83</v>
      </c>
      <c r="S105" s="41">
        <f t="shared" si="11"/>
        <v>1230</v>
      </c>
      <c r="T105" s="36"/>
      <c r="V105" s="41">
        <f t="shared" si="8"/>
        <v>1230</v>
      </c>
      <c r="W105" s="36"/>
      <c r="Y105" s="41">
        <f t="shared" si="9"/>
        <v>1230</v>
      </c>
      <c r="Z105" s="39"/>
      <c r="AB105" s="41">
        <f t="shared" si="10"/>
        <v>1230</v>
      </c>
      <c r="AC105" s="39">
        <v>4.1020000000000003</v>
      </c>
    </row>
    <row r="106" spans="18:29" x14ac:dyDescent="0.25">
      <c r="R106" s="23">
        <v>84</v>
      </c>
      <c r="S106" s="41">
        <f t="shared" si="11"/>
        <v>1240</v>
      </c>
      <c r="T106" s="36"/>
      <c r="V106" s="41">
        <f t="shared" si="8"/>
        <v>1240</v>
      </c>
      <c r="W106" s="36"/>
      <c r="Y106" s="41">
        <f t="shared" si="9"/>
        <v>1240</v>
      </c>
      <c r="Z106" s="39"/>
      <c r="AB106" s="41">
        <f t="shared" si="10"/>
        <v>1240</v>
      </c>
      <c r="AC106" s="39">
        <v>4.1020000000000003</v>
      </c>
    </row>
    <row r="107" spans="18:29" x14ac:dyDescent="0.25">
      <c r="R107" s="23">
        <v>85</v>
      </c>
      <c r="S107" s="41">
        <f t="shared" si="11"/>
        <v>1250</v>
      </c>
      <c r="T107" s="36"/>
      <c r="V107" s="41">
        <f t="shared" si="8"/>
        <v>1250</v>
      </c>
      <c r="W107" s="36"/>
      <c r="Y107" s="41">
        <f t="shared" si="9"/>
        <v>1250</v>
      </c>
      <c r="Z107" s="39"/>
      <c r="AB107" s="41">
        <f t="shared" si="10"/>
        <v>1250</v>
      </c>
      <c r="AC107" s="39">
        <v>4.1020000000000003</v>
      </c>
    </row>
    <row r="108" spans="18:29" x14ac:dyDescent="0.25">
      <c r="R108" s="23">
        <v>86</v>
      </c>
      <c r="S108" s="41">
        <f t="shared" si="11"/>
        <v>1260</v>
      </c>
      <c r="T108" s="36"/>
      <c r="V108" s="41">
        <f t="shared" si="8"/>
        <v>1260</v>
      </c>
      <c r="W108" s="36"/>
      <c r="Y108" s="41">
        <f t="shared" si="9"/>
        <v>1260</v>
      </c>
      <c r="Z108" s="39"/>
      <c r="AB108" s="41">
        <f t="shared" si="10"/>
        <v>1260</v>
      </c>
      <c r="AC108" s="39">
        <v>4.1020000000000003</v>
      </c>
    </row>
    <row r="109" spans="18:29" x14ac:dyDescent="0.25">
      <c r="R109" s="23">
        <v>87</v>
      </c>
      <c r="S109" s="41">
        <f t="shared" si="11"/>
        <v>1270</v>
      </c>
      <c r="T109" s="36"/>
      <c r="V109" s="41">
        <f t="shared" si="8"/>
        <v>1270</v>
      </c>
      <c r="W109" s="36"/>
      <c r="Y109" s="41">
        <f t="shared" si="9"/>
        <v>1270</v>
      </c>
      <c r="Z109" s="39"/>
      <c r="AB109" s="41">
        <f t="shared" si="10"/>
        <v>1270</v>
      </c>
      <c r="AC109" s="39">
        <v>4.1020000000000003</v>
      </c>
    </row>
    <row r="110" spans="18:29" x14ac:dyDescent="0.25">
      <c r="R110" s="23">
        <v>88</v>
      </c>
      <c r="S110" s="41">
        <f t="shared" si="11"/>
        <v>1280</v>
      </c>
      <c r="T110" s="36"/>
      <c r="V110" s="41">
        <f t="shared" si="8"/>
        <v>1280</v>
      </c>
      <c r="W110" s="36"/>
      <c r="Y110" s="41">
        <f t="shared" si="9"/>
        <v>1280</v>
      </c>
      <c r="Z110" s="39"/>
      <c r="AB110" s="41">
        <f t="shared" si="10"/>
        <v>1280</v>
      </c>
      <c r="AC110" s="39">
        <v>4.1020000000000003</v>
      </c>
    </row>
    <row r="111" spans="18:29" x14ac:dyDescent="0.25">
      <c r="R111" s="23">
        <v>89</v>
      </c>
      <c r="S111" s="41">
        <f t="shared" si="11"/>
        <v>1290</v>
      </c>
      <c r="T111" s="36"/>
      <c r="V111" s="41">
        <f t="shared" si="8"/>
        <v>1290</v>
      </c>
      <c r="W111" s="36"/>
      <c r="Y111" s="41">
        <f t="shared" si="9"/>
        <v>1290</v>
      </c>
      <c r="Z111" s="36"/>
      <c r="AB111" s="41">
        <f t="shared" si="10"/>
        <v>1290</v>
      </c>
      <c r="AC111" s="36">
        <v>4.1020000000000003</v>
      </c>
    </row>
    <row r="112" spans="18:29" x14ac:dyDescent="0.25">
      <c r="R112" s="23">
        <v>90</v>
      </c>
      <c r="S112" s="41">
        <f t="shared" si="11"/>
        <v>1300</v>
      </c>
      <c r="T112" s="36"/>
      <c r="V112" s="41">
        <f t="shared" si="8"/>
        <v>1300</v>
      </c>
      <c r="W112" s="36"/>
      <c r="Y112" s="41">
        <f t="shared" si="9"/>
        <v>1300</v>
      </c>
      <c r="Z112" s="36"/>
      <c r="AB112" s="41">
        <f t="shared" si="10"/>
        <v>1300</v>
      </c>
      <c r="AC112" s="36">
        <v>4.1020000000000003</v>
      </c>
    </row>
    <row r="113" spans="18:29" x14ac:dyDescent="0.25">
      <c r="R113" s="23">
        <v>91</v>
      </c>
      <c r="S113" s="41">
        <f t="shared" si="11"/>
        <v>1310</v>
      </c>
      <c r="T113" s="36"/>
      <c r="V113" s="41">
        <f t="shared" si="8"/>
        <v>1310</v>
      </c>
      <c r="W113" s="36"/>
      <c r="Y113" s="41">
        <f t="shared" si="9"/>
        <v>1310</v>
      </c>
      <c r="Z113" s="36"/>
      <c r="AB113" s="41">
        <f t="shared" si="10"/>
        <v>1310</v>
      </c>
      <c r="AC113" s="36">
        <v>4.1020000000000003</v>
      </c>
    </row>
    <row r="114" spans="18:29" x14ac:dyDescent="0.25">
      <c r="R114" s="23">
        <v>92</v>
      </c>
      <c r="S114" s="41">
        <f t="shared" si="11"/>
        <v>1320</v>
      </c>
      <c r="T114" s="36"/>
      <c r="V114" s="41">
        <f t="shared" si="8"/>
        <v>1320</v>
      </c>
      <c r="W114" s="36"/>
      <c r="Y114" s="41">
        <f t="shared" si="9"/>
        <v>1320</v>
      </c>
      <c r="Z114" s="36"/>
      <c r="AB114" s="41">
        <f t="shared" si="10"/>
        <v>1320</v>
      </c>
      <c r="AC114" s="36">
        <v>4.1020000000000003</v>
      </c>
    </row>
    <row r="115" spans="18:29" x14ac:dyDescent="0.25">
      <c r="R115" s="23">
        <v>93</v>
      </c>
      <c r="S115" s="41">
        <f t="shared" si="11"/>
        <v>1330</v>
      </c>
      <c r="T115" s="36"/>
      <c r="V115" s="41">
        <f t="shared" si="8"/>
        <v>1330</v>
      </c>
      <c r="W115" s="36"/>
      <c r="Y115" s="41">
        <f t="shared" si="9"/>
        <v>1330</v>
      </c>
      <c r="Z115" s="36"/>
      <c r="AB115" s="41">
        <f t="shared" si="10"/>
        <v>1330</v>
      </c>
      <c r="AC115" s="36">
        <v>4.1020000000000003</v>
      </c>
    </row>
    <row r="116" spans="18:29" x14ac:dyDescent="0.25">
      <c r="R116" s="23">
        <v>94</v>
      </c>
      <c r="S116" s="41">
        <f t="shared" si="11"/>
        <v>1340</v>
      </c>
      <c r="T116" s="36"/>
      <c r="V116" s="41">
        <f t="shared" si="8"/>
        <v>1340</v>
      </c>
      <c r="W116" s="36"/>
      <c r="Y116" s="41">
        <f t="shared" si="9"/>
        <v>1340</v>
      </c>
      <c r="Z116" s="36"/>
      <c r="AB116" s="41">
        <f t="shared" si="10"/>
        <v>1340</v>
      </c>
      <c r="AC116" s="36">
        <v>4.1020000000000003</v>
      </c>
    </row>
    <row r="117" spans="18:29" x14ac:dyDescent="0.25">
      <c r="R117" s="23">
        <v>95</v>
      </c>
      <c r="S117" s="41">
        <f t="shared" si="11"/>
        <v>1350</v>
      </c>
      <c r="T117" s="36"/>
      <c r="V117" s="41">
        <f t="shared" si="8"/>
        <v>1350</v>
      </c>
      <c r="W117" s="36"/>
      <c r="Y117" s="41">
        <f t="shared" si="9"/>
        <v>1350</v>
      </c>
      <c r="Z117" s="36"/>
      <c r="AB117" s="41">
        <f t="shared" si="10"/>
        <v>1350</v>
      </c>
      <c r="AC117" s="36">
        <v>4.1020000000000003</v>
      </c>
    </row>
    <row r="118" spans="18:29" x14ac:dyDescent="0.25">
      <c r="R118" s="23">
        <v>96</v>
      </c>
      <c r="S118" s="41">
        <f t="shared" si="11"/>
        <v>1360</v>
      </c>
      <c r="T118" s="36"/>
      <c r="V118" s="41">
        <f t="shared" si="8"/>
        <v>1360</v>
      </c>
      <c r="W118" s="36"/>
      <c r="Y118" s="41">
        <f t="shared" si="9"/>
        <v>1360</v>
      </c>
      <c r="Z118" s="36"/>
      <c r="AB118" s="41">
        <f t="shared" si="10"/>
        <v>1360</v>
      </c>
      <c r="AC118" s="36">
        <v>4.1020000000000003</v>
      </c>
    </row>
    <row r="119" spans="18:29" x14ac:dyDescent="0.25">
      <c r="R119" s="23">
        <v>97</v>
      </c>
      <c r="S119" s="41">
        <f t="shared" si="11"/>
        <v>1370</v>
      </c>
      <c r="T119" s="36"/>
      <c r="V119" s="41">
        <f t="shared" si="8"/>
        <v>1370</v>
      </c>
      <c r="W119" s="36"/>
      <c r="Y119" s="41">
        <f t="shared" si="9"/>
        <v>1370</v>
      </c>
      <c r="Z119" s="36"/>
      <c r="AB119" s="41">
        <f t="shared" si="10"/>
        <v>1370</v>
      </c>
      <c r="AC119" s="36">
        <v>4.1020000000000003</v>
      </c>
    </row>
    <row r="120" spans="18:29" x14ac:dyDescent="0.25">
      <c r="R120" s="23">
        <v>98</v>
      </c>
    </row>
    <row r="121" spans="18:29" x14ac:dyDescent="0.25">
      <c r="R121" s="23">
        <v>99</v>
      </c>
    </row>
    <row r="122" spans="18:29" x14ac:dyDescent="0.25">
      <c r="R122" s="23">
        <v>100</v>
      </c>
    </row>
    <row r="123" spans="18:29" x14ac:dyDescent="0.25">
      <c r="R123" s="23">
        <v>101</v>
      </c>
    </row>
    <row r="124" spans="18:29" x14ac:dyDescent="0.25">
      <c r="R124" s="23">
        <v>102</v>
      </c>
    </row>
    <row r="125" spans="18:29" x14ac:dyDescent="0.25">
      <c r="R125" s="23">
        <v>103</v>
      </c>
    </row>
    <row r="126" spans="18:29" x14ac:dyDescent="0.25">
      <c r="R126" s="23">
        <v>104</v>
      </c>
    </row>
    <row r="127" spans="18:29" x14ac:dyDescent="0.25">
      <c r="R127" s="23">
        <v>105</v>
      </c>
    </row>
    <row r="128" spans="18:29" x14ac:dyDescent="0.25">
      <c r="R128" s="23">
        <v>106</v>
      </c>
    </row>
    <row r="129" spans="18:20" x14ac:dyDescent="0.25">
      <c r="R129" s="23">
        <v>107</v>
      </c>
    </row>
    <row r="130" spans="18:20" x14ac:dyDescent="0.25">
      <c r="R130" s="23">
        <v>108</v>
      </c>
    </row>
    <row r="131" spans="18:20" x14ac:dyDescent="0.25">
      <c r="R131" s="23">
        <v>109</v>
      </c>
    </row>
    <row r="132" spans="18:20" x14ac:dyDescent="0.25">
      <c r="R132" s="23">
        <v>110</v>
      </c>
    </row>
    <row r="133" spans="18:20" x14ac:dyDescent="0.25">
      <c r="T133" s="38"/>
    </row>
    <row r="134" spans="18:20" x14ac:dyDescent="0.25">
      <c r="T134" s="38"/>
    </row>
    <row r="135" spans="18:20" x14ac:dyDescent="0.25">
      <c r="T135" s="38"/>
    </row>
    <row r="136" spans="18:20" x14ac:dyDescent="0.25">
      <c r="T136" s="38"/>
    </row>
    <row r="137" spans="18:20" x14ac:dyDescent="0.25">
      <c r="T137" s="38"/>
    </row>
    <row r="138" spans="18:20" x14ac:dyDescent="0.25">
      <c r="T138" s="38"/>
    </row>
    <row r="139" spans="18:20" x14ac:dyDescent="0.25">
      <c r="T139" s="38"/>
    </row>
    <row r="140" spans="18:20" x14ac:dyDescent="0.25">
      <c r="T140" s="38"/>
    </row>
    <row r="141" spans="18:20" x14ac:dyDescent="0.25">
      <c r="T141" s="38"/>
    </row>
    <row r="142" spans="18:20" x14ac:dyDescent="0.25">
      <c r="T142" s="38"/>
    </row>
    <row r="143" spans="18:20" x14ac:dyDescent="0.25">
      <c r="T143" s="38"/>
    </row>
    <row r="144" spans="18:20" x14ac:dyDescent="0.25">
      <c r="T144" s="38"/>
    </row>
    <row r="145" spans="20:20" x14ac:dyDescent="0.25">
      <c r="T145" s="38"/>
    </row>
    <row r="146" spans="20:20" x14ac:dyDescent="0.25">
      <c r="T146" s="38"/>
    </row>
    <row r="147" spans="20:20" x14ac:dyDescent="0.25">
      <c r="T147" s="38"/>
    </row>
    <row r="148" spans="20:20" x14ac:dyDescent="0.25">
      <c r="T148" s="38"/>
    </row>
    <row r="149" spans="20:20" x14ac:dyDescent="0.25">
      <c r="T149" s="38"/>
    </row>
    <row r="150" spans="20:20" x14ac:dyDescent="0.25">
      <c r="T150" s="38"/>
    </row>
    <row r="151" spans="20:20" x14ac:dyDescent="0.25">
      <c r="T151" s="38"/>
    </row>
    <row r="152" spans="20:20" x14ac:dyDescent="0.25">
      <c r="T152" s="38"/>
    </row>
    <row r="153" spans="20:20" x14ac:dyDescent="0.25">
      <c r="T153" s="38"/>
    </row>
    <row r="154" spans="20:20" x14ac:dyDescent="0.25">
      <c r="T154" s="38"/>
    </row>
    <row r="155" spans="20:20" x14ac:dyDescent="0.25">
      <c r="T155" s="38"/>
    </row>
    <row r="156" spans="20:20" x14ac:dyDescent="0.25">
      <c r="T156" s="38"/>
    </row>
    <row r="157" spans="20:20" x14ac:dyDescent="0.25">
      <c r="T157" s="38"/>
    </row>
    <row r="158" spans="20:20" x14ac:dyDescent="0.25">
      <c r="T158" s="38"/>
    </row>
    <row r="159" spans="20:20" x14ac:dyDescent="0.25">
      <c r="T159" s="38"/>
    </row>
    <row r="160" spans="20:20" x14ac:dyDescent="0.25">
      <c r="T160" s="38"/>
    </row>
    <row r="161" spans="20:20" x14ac:dyDescent="0.25">
      <c r="T161" s="38"/>
    </row>
    <row r="162" spans="20:20" x14ac:dyDescent="0.25">
      <c r="T162" s="38"/>
    </row>
    <row r="163" spans="20:20" x14ac:dyDescent="0.25">
      <c r="T163" s="38"/>
    </row>
    <row r="164" spans="20:20" x14ac:dyDescent="0.25">
      <c r="T164" s="38"/>
    </row>
    <row r="165" spans="20:20" x14ac:dyDescent="0.25">
      <c r="T165" s="38"/>
    </row>
    <row r="166" spans="20:20" x14ac:dyDescent="0.25">
      <c r="T166" s="38"/>
    </row>
    <row r="167" spans="20:20" x14ac:dyDescent="0.25">
      <c r="T167" s="38"/>
    </row>
    <row r="168" spans="20:20" x14ac:dyDescent="0.25">
      <c r="T168" s="38"/>
    </row>
    <row r="169" spans="20:20" x14ac:dyDescent="0.25">
      <c r="T169" s="38"/>
    </row>
    <row r="170" spans="20:20" x14ac:dyDescent="0.25">
      <c r="T170" s="38"/>
    </row>
    <row r="171" spans="20:20" x14ac:dyDescent="0.25">
      <c r="T171" s="38"/>
    </row>
    <row r="172" spans="20:20" x14ac:dyDescent="0.25">
      <c r="T172" s="38"/>
    </row>
    <row r="173" spans="20:20" x14ac:dyDescent="0.25">
      <c r="T173" s="38"/>
    </row>
    <row r="174" spans="20:20" x14ac:dyDescent="0.25">
      <c r="T174" s="38"/>
    </row>
    <row r="175" spans="20:20" x14ac:dyDescent="0.25">
      <c r="T175" s="38"/>
    </row>
    <row r="176" spans="20:20" x14ac:dyDescent="0.25">
      <c r="T176" s="38"/>
    </row>
    <row r="177" spans="20:20" x14ac:dyDescent="0.25">
      <c r="T177" s="38"/>
    </row>
    <row r="178" spans="20:20" x14ac:dyDescent="0.25">
      <c r="T178" s="38"/>
    </row>
    <row r="179" spans="20:20" x14ac:dyDescent="0.25">
      <c r="T179" s="38"/>
    </row>
    <row r="180" spans="20:20" x14ac:dyDescent="0.25">
      <c r="T180" s="38"/>
    </row>
    <row r="181" spans="20:20" x14ac:dyDescent="0.25">
      <c r="T181" s="38"/>
    </row>
    <row r="182" spans="20:20" x14ac:dyDescent="0.25">
      <c r="T182" s="38"/>
    </row>
    <row r="183" spans="20:20" x14ac:dyDescent="0.25">
      <c r="T183" s="38"/>
    </row>
    <row r="184" spans="20:20" x14ac:dyDescent="0.25">
      <c r="T184" s="38"/>
    </row>
    <row r="185" spans="20:20" x14ac:dyDescent="0.25">
      <c r="T185" s="38"/>
    </row>
    <row r="186" spans="20:20" x14ac:dyDescent="0.25">
      <c r="T186" s="38"/>
    </row>
    <row r="187" spans="20:20" x14ac:dyDescent="0.25">
      <c r="T187" s="38"/>
    </row>
    <row r="188" spans="20:20" x14ac:dyDescent="0.25">
      <c r="T188" s="38"/>
    </row>
    <row r="189" spans="20:20" x14ac:dyDescent="0.25">
      <c r="T189" s="38"/>
    </row>
    <row r="190" spans="20:20" x14ac:dyDescent="0.25">
      <c r="T190" s="38"/>
    </row>
    <row r="191" spans="20:20" x14ac:dyDescent="0.25">
      <c r="T191" s="38"/>
    </row>
    <row r="192" spans="20:20" x14ac:dyDescent="0.25">
      <c r="T192" s="38"/>
    </row>
    <row r="193" spans="20:20" x14ac:dyDescent="0.25">
      <c r="T193" s="38"/>
    </row>
    <row r="194" spans="20:20" x14ac:dyDescent="0.25">
      <c r="T194" s="38"/>
    </row>
    <row r="195" spans="20:20" x14ac:dyDescent="0.25">
      <c r="T195" s="38"/>
    </row>
    <row r="196" spans="20:20" x14ac:dyDescent="0.25">
      <c r="T196" s="38"/>
    </row>
    <row r="197" spans="20:20" x14ac:dyDescent="0.25">
      <c r="T197" s="38"/>
    </row>
    <row r="198" spans="20:20" x14ac:dyDescent="0.25">
      <c r="T198" s="38"/>
    </row>
    <row r="199" spans="20:20" x14ac:dyDescent="0.25">
      <c r="T199" s="38"/>
    </row>
    <row r="200" spans="20:20" x14ac:dyDescent="0.25">
      <c r="T200" s="38"/>
    </row>
    <row r="201" spans="20:20" x14ac:dyDescent="0.25">
      <c r="T201" s="38"/>
    </row>
    <row r="202" spans="20:20" x14ac:dyDescent="0.25">
      <c r="T202" s="38"/>
    </row>
    <row r="203" spans="20:20" x14ac:dyDescent="0.25">
      <c r="T203" s="38"/>
    </row>
    <row r="204" spans="20:20" x14ac:dyDescent="0.25">
      <c r="T204" s="38"/>
    </row>
    <row r="205" spans="20:20" x14ac:dyDescent="0.25">
      <c r="T205" s="38"/>
    </row>
    <row r="206" spans="20:20" x14ac:dyDescent="0.25">
      <c r="T206" s="38"/>
    </row>
    <row r="207" spans="20:20" x14ac:dyDescent="0.25">
      <c r="T207" s="38"/>
    </row>
    <row r="208" spans="20:20" x14ac:dyDescent="0.25">
      <c r="T208" s="38"/>
    </row>
    <row r="209" spans="20:20" x14ac:dyDescent="0.25">
      <c r="T209" s="38"/>
    </row>
    <row r="210" spans="20:20" x14ac:dyDescent="0.25">
      <c r="T210" s="38"/>
    </row>
    <row r="211" spans="20:20" x14ac:dyDescent="0.25">
      <c r="T211" s="38"/>
    </row>
    <row r="212" spans="20:20" x14ac:dyDescent="0.25">
      <c r="T212" s="38"/>
    </row>
    <row r="213" spans="20:20" x14ac:dyDescent="0.25">
      <c r="T213" s="38"/>
    </row>
    <row r="214" spans="20:20" x14ac:dyDescent="0.25">
      <c r="T214" s="38"/>
    </row>
    <row r="215" spans="20:20" x14ac:dyDescent="0.25">
      <c r="T215" s="38"/>
    </row>
    <row r="216" spans="20:20" x14ac:dyDescent="0.25">
      <c r="T216" s="38"/>
    </row>
    <row r="217" spans="20:20" x14ac:dyDescent="0.25">
      <c r="T217" s="38"/>
    </row>
    <row r="218" spans="20:20" x14ac:dyDescent="0.25">
      <c r="T218" s="38"/>
    </row>
    <row r="219" spans="20:20" x14ac:dyDescent="0.25">
      <c r="T219" s="38"/>
    </row>
    <row r="220" spans="20:20" x14ac:dyDescent="0.25">
      <c r="T220" s="38"/>
    </row>
    <row r="221" spans="20:20" x14ac:dyDescent="0.25">
      <c r="T221" s="38"/>
    </row>
    <row r="222" spans="20:20" x14ac:dyDescent="0.25">
      <c r="T222" s="38"/>
    </row>
    <row r="223" spans="20:20" x14ac:dyDescent="0.25">
      <c r="T223" s="38"/>
    </row>
    <row r="224" spans="20:20" x14ac:dyDescent="0.25">
      <c r="T224" s="38"/>
    </row>
    <row r="225" spans="20:20" x14ac:dyDescent="0.25">
      <c r="T225" s="38"/>
    </row>
    <row r="226" spans="20:20" x14ac:dyDescent="0.25">
      <c r="T226" s="38"/>
    </row>
    <row r="227" spans="20:20" x14ac:dyDescent="0.25">
      <c r="T227" s="38"/>
    </row>
    <row r="228" spans="20:20" x14ac:dyDescent="0.25">
      <c r="T228" s="38"/>
    </row>
    <row r="229" spans="20:20" x14ac:dyDescent="0.25">
      <c r="T229" s="38"/>
    </row>
    <row r="230" spans="20:20" x14ac:dyDescent="0.25">
      <c r="T230" s="38"/>
    </row>
    <row r="231" spans="20:20" x14ac:dyDescent="0.25">
      <c r="T231" s="38"/>
    </row>
    <row r="232" spans="20:20" x14ac:dyDescent="0.25">
      <c r="T232" s="38"/>
    </row>
    <row r="233" spans="20:20" x14ac:dyDescent="0.25">
      <c r="T233" s="38"/>
    </row>
    <row r="234" spans="20:20" x14ac:dyDescent="0.25">
      <c r="T234" s="38"/>
    </row>
    <row r="235" spans="20:20" x14ac:dyDescent="0.25">
      <c r="T235" s="38"/>
    </row>
    <row r="236" spans="20:20" x14ac:dyDescent="0.25">
      <c r="T236" s="38"/>
    </row>
    <row r="237" spans="20:20" x14ac:dyDescent="0.25">
      <c r="T237" s="38"/>
    </row>
    <row r="238" spans="20:20" x14ac:dyDescent="0.25">
      <c r="T238" s="38"/>
    </row>
    <row r="239" spans="20:20" x14ac:dyDescent="0.25">
      <c r="T239" s="38"/>
    </row>
    <row r="240" spans="20:20" x14ac:dyDescent="0.25">
      <c r="T240" s="38"/>
    </row>
    <row r="241" spans="20:20" x14ac:dyDescent="0.25">
      <c r="T241" s="38"/>
    </row>
    <row r="242" spans="20:20" x14ac:dyDescent="0.25">
      <c r="T242" s="38"/>
    </row>
    <row r="243" spans="20:20" x14ac:dyDescent="0.25">
      <c r="T243" s="38"/>
    </row>
    <row r="244" spans="20:20" x14ac:dyDescent="0.25">
      <c r="T244" s="38"/>
    </row>
    <row r="245" spans="20:20" x14ac:dyDescent="0.25">
      <c r="T245" s="38"/>
    </row>
    <row r="246" spans="20:20" x14ac:dyDescent="0.25">
      <c r="T246" s="38"/>
    </row>
    <row r="247" spans="20:20" x14ac:dyDescent="0.25">
      <c r="T247" s="38"/>
    </row>
    <row r="248" spans="20:20" x14ac:dyDescent="0.25">
      <c r="T248" s="38"/>
    </row>
    <row r="249" spans="20:20" x14ac:dyDescent="0.25">
      <c r="T249" s="38"/>
    </row>
    <row r="250" spans="20:20" x14ac:dyDescent="0.25">
      <c r="T250" s="38"/>
    </row>
    <row r="251" spans="20:20" x14ac:dyDescent="0.25">
      <c r="T251" s="38"/>
    </row>
    <row r="252" spans="20:20" x14ac:dyDescent="0.25">
      <c r="T252" s="38"/>
    </row>
    <row r="253" spans="20:20" x14ac:dyDescent="0.25">
      <c r="T253" s="38"/>
    </row>
    <row r="254" spans="20:20" x14ac:dyDescent="0.25">
      <c r="T254" s="38"/>
    </row>
    <row r="255" spans="20:20" x14ac:dyDescent="0.25">
      <c r="T255" s="38"/>
    </row>
    <row r="256" spans="20:20" x14ac:dyDescent="0.25">
      <c r="T256" s="38"/>
    </row>
    <row r="257" spans="20:20" x14ac:dyDescent="0.25">
      <c r="T257" s="38"/>
    </row>
    <row r="258" spans="20:20" x14ac:dyDescent="0.25">
      <c r="T258" s="38"/>
    </row>
    <row r="259" spans="20:20" x14ac:dyDescent="0.25">
      <c r="T259" s="38"/>
    </row>
    <row r="260" spans="20:20" x14ac:dyDescent="0.25">
      <c r="T260" s="38"/>
    </row>
    <row r="261" spans="20:20" x14ac:dyDescent="0.25">
      <c r="T261" s="38"/>
    </row>
    <row r="262" spans="20:20" x14ac:dyDescent="0.25">
      <c r="T262" s="38"/>
    </row>
    <row r="263" spans="20:20" x14ac:dyDescent="0.25">
      <c r="T263" s="38"/>
    </row>
    <row r="264" spans="20:20" x14ac:dyDescent="0.25">
      <c r="T264" s="38"/>
    </row>
    <row r="265" spans="20:20" x14ac:dyDescent="0.25">
      <c r="T265" s="38"/>
    </row>
    <row r="266" spans="20:20" x14ac:dyDescent="0.25">
      <c r="T266" s="38"/>
    </row>
    <row r="267" spans="20:20" x14ac:dyDescent="0.25">
      <c r="T267" s="38"/>
    </row>
    <row r="268" spans="20:20" x14ac:dyDescent="0.25">
      <c r="T268" s="38"/>
    </row>
    <row r="269" spans="20:20" x14ac:dyDescent="0.25">
      <c r="T269" s="38"/>
    </row>
    <row r="270" spans="20:20" x14ac:dyDescent="0.25">
      <c r="T270" s="38"/>
    </row>
    <row r="271" spans="20:20" x14ac:dyDescent="0.25">
      <c r="T271" s="38"/>
    </row>
    <row r="272" spans="20:20" x14ac:dyDescent="0.25">
      <c r="T272" s="38"/>
    </row>
    <row r="273" spans="20:20" x14ac:dyDescent="0.25">
      <c r="T273" s="38"/>
    </row>
    <row r="274" spans="20:20" x14ac:dyDescent="0.25">
      <c r="T274" s="38"/>
    </row>
    <row r="275" spans="20:20" x14ac:dyDescent="0.25">
      <c r="T275" s="38"/>
    </row>
    <row r="276" spans="20:20" x14ac:dyDescent="0.25">
      <c r="T276" s="38"/>
    </row>
    <row r="277" spans="20:20" x14ac:dyDescent="0.25">
      <c r="T277" s="38"/>
    </row>
    <row r="278" spans="20:20" x14ac:dyDescent="0.25">
      <c r="T278" s="38"/>
    </row>
    <row r="279" spans="20:20" x14ac:dyDescent="0.25">
      <c r="T279" s="38"/>
    </row>
    <row r="280" spans="20:20" x14ac:dyDescent="0.25">
      <c r="T280" s="38"/>
    </row>
    <row r="281" spans="20:20" x14ac:dyDescent="0.25">
      <c r="T281" s="38"/>
    </row>
    <row r="282" spans="20:20" x14ac:dyDescent="0.25">
      <c r="T282" s="38"/>
    </row>
    <row r="283" spans="20:20" x14ac:dyDescent="0.25">
      <c r="T283" s="38"/>
    </row>
    <row r="284" spans="20:20" x14ac:dyDescent="0.25">
      <c r="T284" s="38"/>
    </row>
    <row r="285" spans="20:20" x14ac:dyDescent="0.25">
      <c r="T285" s="38"/>
    </row>
    <row r="286" spans="20:20" x14ac:dyDescent="0.25">
      <c r="T286" s="38"/>
    </row>
    <row r="287" spans="20:20" x14ac:dyDescent="0.25">
      <c r="T287" s="38"/>
    </row>
    <row r="288" spans="20:20" x14ac:dyDescent="0.25">
      <c r="T288" s="38"/>
    </row>
    <row r="289" spans="20:20" x14ac:dyDescent="0.25">
      <c r="T289" s="38"/>
    </row>
    <row r="290" spans="20:20" x14ac:dyDescent="0.25">
      <c r="T290" s="38"/>
    </row>
    <row r="291" spans="20:20" x14ac:dyDescent="0.25">
      <c r="T291" s="38"/>
    </row>
    <row r="292" spans="20:20" x14ac:dyDescent="0.25">
      <c r="T292" s="38"/>
    </row>
    <row r="293" spans="20:20" x14ac:dyDescent="0.25">
      <c r="T293" s="38"/>
    </row>
    <row r="294" spans="20:20" x14ac:dyDescent="0.25">
      <c r="T294" s="38"/>
    </row>
    <row r="295" spans="20:20" x14ac:dyDescent="0.25">
      <c r="T295" s="38"/>
    </row>
    <row r="296" spans="20:20" x14ac:dyDescent="0.25">
      <c r="T296" s="38"/>
    </row>
    <row r="297" spans="20:20" x14ac:dyDescent="0.25">
      <c r="T297" s="38"/>
    </row>
    <row r="298" spans="20:20" x14ac:dyDescent="0.25">
      <c r="T298" s="38"/>
    </row>
    <row r="299" spans="20:20" x14ac:dyDescent="0.25">
      <c r="T299" s="38"/>
    </row>
    <row r="300" spans="20:20" x14ac:dyDescent="0.25">
      <c r="T300" s="38"/>
    </row>
    <row r="301" spans="20:20" x14ac:dyDescent="0.25">
      <c r="T301" s="38"/>
    </row>
    <row r="302" spans="20:20" x14ac:dyDescent="0.25">
      <c r="T302" s="38"/>
    </row>
    <row r="303" spans="20:20" x14ac:dyDescent="0.25">
      <c r="T303" s="38"/>
    </row>
    <row r="304" spans="20:20" x14ac:dyDescent="0.25">
      <c r="T304" s="38"/>
    </row>
    <row r="305" spans="20:20" x14ac:dyDescent="0.25">
      <c r="T305" s="38"/>
    </row>
    <row r="306" spans="20:20" x14ac:dyDescent="0.25">
      <c r="T306" s="38"/>
    </row>
    <row r="307" spans="20:20" x14ac:dyDescent="0.25">
      <c r="T307" s="38"/>
    </row>
    <row r="308" spans="20:20" x14ac:dyDescent="0.25">
      <c r="T308" s="38"/>
    </row>
    <row r="309" spans="20:20" x14ac:dyDescent="0.25">
      <c r="T309" s="38"/>
    </row>
    <row r="310" spans="20:20" x14ac:dyDescent="0.25">
      <c r="T310" s="38"/>
    </row>
    <row r="311" spans="20:20" x14ac:dyDescent="0.25">
      <c r="T311" s="38"/>
    </row>
    <row r="312" spans="20:20" x14ac:dyDescent="0.25">
      <c r="T312" s="38"/>
    </row>
    <row r="313" spans="20:20" x14ac:dyDescent="0.25">
      <c r="T313" s="38"/>
    </row>
    <row r="314" spans="20:20" x14ac:dyDescent="0.25">
      <c r="T314" s="38"/>
    </row>
    <row r="315" spans="20:20" x14ac:dyDescent="0.25">
      <c r="T315" s="38"/>
    </row>
    <row r="316" spans="20:20" x14ac:dyDescent="0.25">
      <c r="T316" s="38"/>
    </row>
    <row r="317" spans="20:20" x14ac:dyDescent="0.25">
      <c r="T317" s="38"/>
    </row>
    <row r="318" spans="20:20" x14ac:dyDescent="0.25">
      <c r="T318" s="38"/>
    </row>
    <row r="319" spans="20:20" x14ac:dyDescent="0.25">
      <c r="T319" s="38"/>
    </row>
    <row r="320" spans="20:20" x14ac:dyDescent="0.25">
      <c r="T320" s="38"/>
    </row>
    <row r="321" spans="20:20" x14ac:dyDescent="0.25">
      <c r="T321" s="38"/>
    </row>
    <row r="322" spans="20:20" x14ac:dyDescent="0.25">
      <c r="T322" s="38"/>
    </row>
    <row r="323" spans="20:20" x14ac:dyDescent="0.25">
      <c r="T323" s="38"/>
    </row>
    <row r="324" spans="20:20" x14ac:dyDescent="0.25">
      <c r="T324" s="38"/>
    </row>
    <row r="325" spans="20:20" x14ac:dyDescent="0.25">
      <c r="T325" s="38"/>
    </row>
    <row r="326" spans="20:20" x14ac:dyDescent="0.25">
      <c r="T326" s="38"/>
    </row>
    <row r="327" spans="20:20" x14ac:dyDescent="0.25">
      <c r="T327" s="38"/>
    </row>
    <row r="328" spans="20:20" x14ac:dyDescent="0.25">
      <c r="T328" s="38"/>
    </row>
    <row r="329" spans="20:20" x14ac:dyDescent="0.25">
      <c r="T329" s="38"/>
    </row>
    <row r="330" spans="20:20" x14ac:dyDescent="0.25">
      <c r="T330" s="38"/>
    </row>
    <row r="331" spans="20:20" x14ac:dyDescent="0.25">
      <c r="T331" s="38"/>
    </row>
    <row r="332" spans="20:20" x14ac:dyDescent="0.25">
      <c r="T332" s="38"/>
    </row>
    <row r="333" spans="20:20" x14ac:dyDescent="0.25">
      <c r="T333" s="38"/>
    </row>
    <row r="334" spans="20:20" x14ac:dyDescent="0.25">
      <c r="T334" s="38"/>
    </row>
    <row r="335" spans="20:20" x14ac:dyDescent="0.25">
      <c r="T335" s="38"/>
    </row>
    <row r="336" spans="20:20" x14ac:dyDescent="0.25">
      <c r="T336" s="38"/>
    </row>
    <row r="337" spans="20:20" x14ac:dyDescent="0.25">
      <c r="T337" s="38"/>
    </row>
    <row r="338" spans="20:20" x14ac:dyDescent="0.25">
      <c r="T338" s="38"/>
    </row>
    <row r="339" spans="20:20" x14ac:dyDescent="0.25">
      <c r="T339" s="38"/>
    </row>
    <row r="340" spans="20:20" x14ac:dyDescent="0.25">
      <c r="T340" s="38"/>
    </row>
    <row r="341" spans="20:20" x14ac:dyDescent="0.25">
      <c r="T341" s="38"/>
    </row>
    <row r="342" spans="20:20" x14ac:dyDescent="0.25">
      <c r="T342" s="38"/>
    </row>
    <row r="343" spans="20:20" x14ac:dyDescent="0.25">
      <c r="T343" s="38"/>
    </row>
    <row r="344" spans="20:20" x14ac:dyDescent="0.25">
      <c r="T344" s="38"/>
    </row>
    <row r="345" spans="20:20" x14ac:dyDescent="0.25">
      <c r="T345" s="38"/>
    </row>
    <row r="346" spans="20:20" x14ac:dyDescent="0.25">
      <c r="T346" s="38"/>
    </row>
    <row r="347" spans="20:20" x14ac:dyDescent="0.25">
      <c r="T347" s="38"/>
    </row>
    <row r="348" spans="20:20" x14ac:dyDescent="0.25">
      <c r="T348" s="38"/>
    </row>
    <row r="349" spans="20:20" x14ac:dyDescent="0.25">
      <c r="T349" s="38"/>
    </row>
    <row r="350" spans="20:20" x14ac:dyDescent="0.25">
      <c r="T350" s="38"/>
    </row>
    <row r="351" spans="20:20" x14ac:dyDescent="0.25">
      <c r="T351" s="38"/>
    </row>
    <row r="352" spans="20:20" x14ac:dyDescent="0.25">
      <c r="T352" s="38"/>
    </row>
    <row r="353" spans="20:20" x14ac:dyDescent="0.25">
      <c r="T353" s="38"/>
    </row>
    <row r="354" spans="20:20" x14ac:dyDescent="0.25">
      <c r="T354" s="38"/>
    </row>
    <row r="355" spans="20:20" x14ac:dyDescent="0.25">
      <c r="T355" s="38"/>
    </row>
    <row r="356" spans="20:20" x14ac:dyDescent="0.25">
      <c r="T356" s="38"/>
    </row>
    <row r="357" spans="20:20" x14ac:dyDescent="0.25">
      <c r="T357" s="38"/>
    </row>
    <row r="358" spans="20:20" x14ac:dyDescent="0.25">
      <c r="T358" s="38"/>
    </row>
    <row r="359" spans="20:20" x14ac:dyDescent="0.25">
      <c r="T359" s="38"/>
    </row>
    <row r="360" spans="20:20" x14ac:dyDescent="0.25">
      <c r="T360" s="38"/>
    </row>
    <row r="361" spans="20:20" x14ac:dyDescent="0.25">
      <c r="T361" s="38"/>
    </row>
    <row r="362" spans="20:20" x14ac:dyDescent="0.25">
      <c r="T362" s="38"/>
    </row>
    <row r="363" spans="20:20" x14ac:dyDescent="0.25">
      <c r="T363" s="38"/>
    </row>
    <row r="364" spans="20:20" x14ac:dyDescent="0.25">
      <c r="T364" s="38"/>
    </row>
    <row r="365" spans="20:20" x14ac:dyDescent="0.25">
      <c r="T365" s="38"/>
    </row>
    <row r="366" spans="20:20" x14ac:dyDescent="0.25">
      <c r="T366" s="38"/>
    </row>
    <row r="367" spans="20:20" x14ac:dyDescent="0.25">
      <c r="T367" s="38"/>
    </row>
    <row r="368" spans="20:20" x14ac:dyDescent="0.25">
      <c r="T368" s="38"/>
    </row>
    <row r="369" spans="20:20" x14ac:dyDescent="0.25">
      <c r="T369" s="38"/>
    </row>
    <row r="370" spans="20:20" x14ac:dyDescent="0.25">
      <c r="T370" s="38"/>
    </row>
    <row r="371" spans="20:20" x14ac:dyDescent="0.25">
      <c r="T371" s="38"/>
    </row>
    <row r="372" spans="20:20" x14ac:dyDescent="0.25">
      <c r="T372" s="38"/>
    </row>
    <row r="373" spans="20:20" x14ac:dyDescent="0.25">
      <c r="T373" s="38"/>
    </row>
    <row r="374" spans="20:20" x14ac:dyDescent="0.25">
      <c r="T374" s="38"/>
    </row>
    <row r="375" spans="20:20" x14ac:dyDescent="0.25">
      <c r="T375" s="38"/>
    </row>
    <row r="376" spans="20:20" x14ac:dyDescent="0.25">
      <c r="T376" s="38"/>
    </row>
    <row r="377" spans="20:20" x14ac:dyDescent="0.25">
      <c r="T377" s="38"/>
    </row>
    <row r="378" spans="20:20" x14ac:dyDescent="0.25">
      <c r="T378" s="38"/>
    </row>
    <row r="379" spans="20:20" x14ac:dyDescent="0.25">
      <c r="T379" s="38"/>
    </row>
    <row r="380" spans="20:20" x14ac:dyDescent="0.25">
      <c r="T380" s="38"/>
    </row>
    <row r="381" spans="20:20" x14ac:dyDescent="0.25">
      <c r="T381" s="38"/>
    </row>
    <row r="382" spans="20:20" x14ac:dyDescent="0.25">
      <c r="T382" s="38"/>
    </row>
    <row r="383" spans="20:20" x14ac:dyDescent="0.25">
      <c r="T383" s="38"/>
    </row>
    <row r="384" spans="20:20" x14ac:dyDescent="0.25">
      <c r="T384" s="38"/>
    </row>
    <row r="385" spans="20:20" x14ac:dyDescent="0.25">
      <c r="T385" s="38"/>
    </row>
    <row r="386" spans="20:20" x14ac:dyDescent="0.25">
      <c r="T386" s="38"/>
    </row>
    <row r="387" spans="20:20" x14ac:dyDescent="0.25">
      <c r="T387" s="38"/>
    </row>
    <row r="388" spans="20:20" x14ac:dyDescent="0.25">
      <c r="T388" s="38"/>
    </row>
    <row r="389" spans="20:20" x14ac:dyDescent="0.25">
      <c r="T389" s="38"/>
    </row>
    <row r="390" spans="20:20" x14ac:dyDescent="0.25">
      <c r="T390" s="38"/>
    </row>
    <row r="391" spans="20:20" x14ac:dyDescent="0.25">
      <c r="T391" s="38"/>
    </row>
    <row r="392" spans="20:20" x14ac:dyDescent="0.25">
      <c r="T392" s="38"/>
    </row>
    <row r="393" spans="20:20" x14ac:dyDescent="0.25">
      <c r="T393" s="38"/>
    </row>
    <row r="394" spans="20:20" x14ac:dyDescent="0.25">
      <c r="T394" s="38"/>
    </row>
    <row r="395" spans="20:20" x14ac:dyDescent="0.25">
      <c r="T395" s="38"/>
    </row>
    <row r="396" spans="20:20" x14ac:dyDescent="0.25">
      <c r="T396" s="38"/>
    </row>
    <row r="397" spans="20:20" x14ac:dyDescent="0.25">
      <c r="T397" s="38"/>
    </row>
    <row r="398" spans="20:20" x14ac:dyDescent="0.25">
      <c r="T398" s="38"/>
    </row>
    <row r="399" spans="20:20" x14ac:dyDescent="0.25">
      <c r="T399" s="38"/>
    </row>
    <row r="400" spans="20:20" x14ac:dyDescent="0.25">
      <c r="T400" s="38"/>
    </row>
    <row r="401" spans="20:20" x14ac:dyDescent="0.25">
      <c r="T401" s="38"/>
    </row>
    <row r="402" spans="20:20" x14ac:dyDescent="0.25">
      <c r="T402" s="38"/>
    </row>
    <row r="403" spans="20:20" x14ac:dyDescent="0.25">
      <c r="T403" s="38"/>
    </row>
    <row r="404" spans="20:20" x14ac:dyDescent="0.25">
      <c r="T404" s="38"/>
    </row>
    <row r="405" spans="20:20" x14ac:dyDescent="0.25">
      <c r="T405" s="38"/>
    </row>
    <row r="406" spans="20:20" x14ac:dyDescent="0.25">
      <c r="T406" s="38"/>
    </row>
    <row r="407" spans="20:20" x14ac:dyDescent="0.25">
      <c r="T407" s="38"/>
    </row>
    <row r="408" spans="20:20" x14ac:dyDescent="0.25">
      <c r="T408" s="38"/>
    </row>
    <row r="409" spans="20:20" x14ac:dyDescent="0.25">
      <c r="T409" s="38"/>
    </row>
    <row r="410" spans="20:20" x14ac:dyDescent="0.25">
      <c r="T410" s="38"/>
    </row>
    <row r="411" spans="20:20" x14ac:dyDescent="0.25">
      <c r="T411" s="38"/>
    </row>
    <row r="412" spans="20:20" x14ac:dyDescent="0.25">
      <c r="T412" s="38"/>
    </row>
    <row r="413" spans="20:20" x14ac:dyDescent="0.25">
      <c r="T413" s="38"/>
    </row>
    <row r="414" spans="20:20" x14ac:dyDescent="0.25">
      <c r="T414" s="38"/>
    </row>
    <row r="415" spans="20:20" x14ac:dyDescent="0.25">
      <c r="T415" s="38"/>
    </row>
    <row r="416" spans="20:20" x14ac:dyDescent="0.25">
      <c r="T416" s="38"/>
    </row>
    <row r="417" spans="20:20" x14ac:dyDescent="0.25">
      <c r="T417" s="38"/>
    </row>
    <row r="418" spans="20:20" x14ac:dyDescent="0.25">
      <c r="T418" s="38"/>
    </row>
    <row r="419" spans="20:20" x14ac:dyDescent="0.25">
      <c r="T419" s="38"/>
    </row>
    <row r="420" spans="20:20" x14ac:dyDescent="0.25">
      <c r="T420" s="38"/>
    </row>
    <row r="421" spans="20:20" x14ac:dyDescent="0.25">
      <c r="T421" s="38"/>
    </row>
    <row r="422" spans="20:20" x14ac:dyDescent="0.25">
      <c r="T422" s="38"/>
    </row>
    <row r="423" spans="20:20" x14ac:dyDescent="0.25">
      <c r="T423" s="38"/>
    </row>
    <row r="424" spans="20:20" x14ac:dyDescent="0.25">
      <c r="T424" s="38"/>
    </row>
    <row r="425" spans="20:20" x14ac:dyDescent="0.25">
      <c r="T425" s="38"/>
    </row>
    <row r="426" spans="20:20" x14ac:dyDescent="0.25">
      <c r="T426" s="38"/>
    </row>
    <row r="427" spans="20:20" x14ac:dyDescent="0.25">
      <c r="T427" s="38"/>
    </row>
    <row r="428" spans="20:20" x14ac:dyDescent="0.25">
      <c r="T428" s="38"/>
    </row>
    <row r="429" spans="20:20" x14ac:dyDescent="0.25">
      <c r="T429" s="38"/>
    </row>
    <row r="430" spans="20:20" x14ac:dyDescent="0.25">
      <c r="T430" s="38"/>
    </row>
    <row r="431" spans="20:20" x14ac:dyDescent="0.25">
      <c r="T431" s="38"/>
    </row>
    <row r="432" spans="20:20" x14ac:dyDescent="0.25">
      <c r="T432" s="38"/>
    </row>
    <row r="433" spans="20:20" x14ac:dyDescent="0.25">
      <c r="T433" s="38"/>
    </row>
    <row r="434" spans="20:20" x14ac:dyDescent="0.25">
      <c r="T434" s="38"/>
    </row>
    <row r="435" spans="20:20" x14ac:dyDescent="0.25">
      <c r="T435" s="38"/>
    </row>
    <row r="436" spans="20:20" x14ac:dyDescent="0.25">
      <c r="T436" s="38"/>
    </row>
    <row r="437" spans="20:20" x14ac:dyDescent="0.25">
      <c r="T437" s="38"/>
    </row>
    <row r="438" spans="20:20" x14ac:dyDescent="0.25">
      <c r="T438" s="38"/>
    </row>
    <row r="439" spans="20:20" x14ac:dyDescent="0.25">
      <c r="T439" s="38"/>
    </row>
    <row r="440" spans="20:20" x14ac:dyDescent="0.25">
      <c r="T440" s="38"/>
    </row>
    <row r="441" spans="20:20" x14ac:dyDescent="0.25">
      <c r="T441" s="38"/>
    </row>
    <row r="442" spans="20:20" x14ac:dyDescent="0.25">
      <c r="T442" s="38"/>
    </row>
    <row r="443" spans="20:20" x14ac:dyDescent="0.25">
      <c r="T443" s="38"/>
    </row>
    <row r="444" spans="20:20" x14ac:dyDescent="0.25">
      <c r="T444" s="38"/>
    </row>
    <row r="445" spans="20:20" x14ac:dyDescent="0.25">
      <c r="T445" s="38"/>
    </row>
    <row r="446" spans="20:20" x14ac:dyDescent="0.25">
      <c r="T446" s="38"/>
    </row>
    <row r="447" spans="20:20" x14ac:dyDescent="0.25">
      <c r="T447" s="38"/>
    </row>
    <row r="448" spans="20:20" x14ac:dyDescent="0.25">
      <c r="T448" s="38"/>
    </row>
    <row r="449" spans="20:20" x14ac:dyDescent="0.25">
      <c r="T449" s="38"/>
    </row>
    <row r="450" spans="20:20" x14ac:dyDescent="0.25">
      <c r="T450" s="38"/>
    </row>
    <row r="451" spans="20:20" x14ac:dyDescent="0.25">
      <c r="T451" s="38"/>
    </row>
    <row r="452" spans="20:20" x14ac:dyDescent="0.25">
      <c r="T452" s="38"/>
    </row>
    <row r="453" spans="20:20" x14ac:dyDescent="0.25">
      <c r="T453" s="38"/>
    </row>
    <row r="454" spans="20:20" x14ac:dyDescent="0.25">
      <c r="T454" s="38"/>
    </row>
    <row r="455" spans="20:20" x14ac:dyDescent="0.25">
      <c r="T455" s="38"/>
    </row>
    <row r="456" spans="20:20" x14ac:dyDescent="0.25">
      <c r="T456" s="38"/>
    </row>
    <row r="457" spans="20:20" x14ac:dyDescent="0.25">
      <c r="T457" s="38"/>
    </row>
    <row r="458" spans="20:20" x14ac:dyDescent="0.25">
      <c r="T458" s="38"/>
    </row>
    <row r="459" spans="20:20" x14ac:dyDescent="0.25">
      <c r="T459" s="38"/>
    </row>
    <row r="460" spans="20:20" x14ac:dyDescent="0.25">
      <c r="T460" s="38"/>
    </row>
    <row r="461" spans="20:20" x14ac:dyDescent="0.25">
      <c r="T461" s="38"/>
    </row>
    <row r="462" spans="20:20" x14ac:dyDescent="0.25">
      <c r="T462" s="38"/>
    </row>
    <row r="463" spans="20:20" x14ac:dyDescent="0.25">
      <c r="T463" s="38"/>
    </row>
    <row r="464" spans="20:20" x14ac:dyDescent="0.25">
      <c r="T464" s="38"/>
    </row>
    <row r="465" spans="20:20" x14ac:dyDescent="0.25">
      <c r="T465" s="38"/>
    </row>
    <row r="466" spans="20:20" x14ac:dyDescent="0.25">
      <c r="T466" s="38"/>
    </row>
    <row r="467" spans="20:20" x14ac:dyDescent="0.25">
      <c r="T467" s="38"/>
    </row>
    <row r="468" spans="20:20" x14ac:dyDescent="0.25">
      <c r="T468" s="38"/>
    </row>
    <row r="469" spans="20:20" x14ac:dyDescent="0.25">
      <c r="T469" s="38"/>
    </row>
    <row r="470" spans="20:20" x14ac:dyDescent="0.25">
      <c r="T470" s="38"/>
    </row>
    <row r="471" spans="20:20" x14ac:dyDescent="0.25">
      <c r="T471" s="38"/>
    </row>
    <row r="472" spans="20:20" x14ac:dyDescent="0.25">
      <c r="T472" s="38"/>
    </row>
    <row r="473" spans="20:20" x14ac:dyDescent="0.25">
      <c r="T473" s="38"/>
    </row>
    <row r="474" spans="20:20" x14ac:dyDescent="0.25">
      <c r="T474" s="38"/>
    </row>
    <row r="475" spans="20:20" x14ac:dyDescent="0.25">
      <c r="T475" s="38"/>
    </row>
    <row r="476" spans="20:20" x14ac:dyDescent="0.25">
      <c r="T476" s="38"/>
    </row>
    <row r="477" spans="20:20" x14ac:dyDescent="0.25">
      <c r="T477" s="38"/>
    </row>
    <row r="478" spans="20:20" x14ac:dyDescent="0.25">
      <c r="T478" s="38"/>
    </row>
    <row r="479" spans="20:20" x14ac:dyDescent="0.25">
      <c r="T479" s="38"/>
    </row>
    <row r="480" spans="20:20" x14ac:dyDescent="0.25">
      <c r="T480" s="38"/>
    </row>
    <row r="481" spans="20:20" x14ac:dyDescent="0.25">
      <c r="T481" s="38"/>
    </row>
    <row r="482" spans="20:20" x14ac:dyDescent="0.25">
      <c r="T482" s="38"/>
    </row>
    <row r="483" spans="20:20" x14ac:dyDescent="0.25">
      <c r="T483" s="38"/>
    </row>
    <row r="484" spans="20:20" x14ac:dyDescent="0.25">
      <c r="T484" s="38"/>
    </row>
    <row r="485" spans="20:20" x14ac:dyDescent="0.25">
      <c r="T485" s="38"/>
    </row>
    <row r="486" spans="20:20" x14ac:dyDescent="0.25">
      <c r="T486" s="38"/>
    </row>
    <row r="487" spans="20:20" x14ac:dyDescent="0.25">
      <c r="T487" s="38"/>
    </row>
    <row r="488" spans="20:20" x14ac:dyDescent="0.25">
      <c r="T488" s="38"/>
    </row>
    <row r="489" spans="20:20" x14ac:dyDescent="0.25">
      <c r="T489" s="38"/>
    </row>
    <row r="490" spans="20:20" x14ac:dyDescent="0.25">
      <c r="T490" s="38"/>
    </row>
    <row r="491" spans="20:20" x14ac:dyDescent="0.25">
      <c r="T491" s="38"/>
    </row>
    <row r="492" spans="20:20" x14ac:dyDescent="0.25">
      <c r="T492" s="38"/>
    </row>
    <row r="493" spans="20:20" x14ac:dyDescent="0.25">
      <c r="T493" s="38"/>
    </row>
    <row r="494" spans="20:20" x14ac:dyDescent="0.25">
      <c r="T494" s="38"/>
    </row>
    <row r="495" spans="20:20" x14ac:dyDescent="0.25">
      <c r="T495" s="38"/>
    </row>
    <row r="496" spans="20:20" x14ac:dyDescent="0.25">
      <c r="T496" s="38"/>
    </row>
    <row r="497" spans="20:20" x14ac:dyDescent="0.25">
      <c r="T497" s="38"/>
    </row>
    <row r="498" spans="20:20" x14ac:dyDescent="0.25">
      <c r="T498" s="38"/>
    </row>
    <row r="499" spans="20:20" x14ac:dyDescent="0.25">
      <c r="T499" s="38"/>
    </row>
    <row r="500" spans="20:20" x14ac:dyDescent="0.25">
      <c r="T500" s="38"/>
    </row>
    <row r="501" spans="20:20" x14ac:dyDescent="0.25">
      <c r="T501" s="38"/>
    </row>
    <row r="502" spans="20:20" x14ac:dyDescent="0.25">
      <c r="T502" s="38"/>
    </row>
    <row r="503" spans="20:20" x14ac:dyDescent="0.25">
      <c r="T503" s="38"/>
    </row>
    <row r="504" spans="20:20" x14ac:dyDescent="0.25">
      <c r="T504" s="38"/>
    </row>
    <row r="505" spans="20:20" x14ac:dyDescent="0.25">
      <c r="T505" s="38"/>
    </row>
    <row r="506" spans="20:20" x14ac:dyDescent="0.25">
      <c r="T506" s="38"/>
    </row>
    <row r="507" spans="20:20" x14ac:dyDescent="0.25">
      <c r="T507" s="38"/>
    </row>
    <row r="508" spans="20:20" x14ac:dyDescent="0.25">
      <c r="T508" s="38"/>
    </row>
    <row r="509" spans="20:20" x14ac:dyDescent="0.25">
      <c r="T509" s="38"/>
    </row>
    <row r="510" spans="20:20" x14ac:dyDescent="0.25">
      <c r="T510" s="38"/>
    </row>
    <row r="511" spans="20:20" x14ac:dyDescent="0.25">
      <c r="T511" s="38"/>
    </row>
    <row r="512" spans="20:20" x14ac:dyDescent="0.25">
      <c r="T512" s="38"/>
    </row>
    <row r="513" spans="20:20" x14ac:dyDescent="0.25">
      <c r="T513" s="38"/>
    </row>
    <row r="514" spans="20:20" x14ac:dyDescent="0.25">
      <c r="T514" s="38"/>
    </row>
    <row r="515" spans="20:20" x14ac:dyDescent="0.25">
      <c r="T515" s="38"/>
    </row>
    <row r="516" spans="20:20" x14ac:dyDescent="0.25">
      <c r="T516" s="38"/>
    </row>
    <row r="517" spans="20:20" x14ac:dyDescent="0.25">
      <c r="T517" s="38"/>
    </row>
    <row r="518" spans="20:20" x14ac:dyDescent="0.25">
      <c r="T518" s="38"/>
    </row>
    <row r="519" spans="20:20" x14ac:dyDescent="0.25">
      <c r="T519" s="38"/>
    </row>
    <row r="520" spans="20:20" x14ac:dyDescent="0.25">
      <c r="T520" s="38"/>
    </row>
    <row r="521" spans="20:20" x14ac:dyDescent="0.25">
      <c r="T521" s="38"/>
    </row>
    <row r="522" spans="20:20" x14ac:dyDescent="0.25">
      <c r="T522" s="38"/>
    </row>
    <row r="523" spans="20:20" x14ac:dyDescent="0.25">
      <c r="T523" s="38"/>
    </row>
  </sheetData>
  <phoneticPr fontId="15" type="noConversion"/>
  <pageMargins left="0.7" right="0.7" top="0.75" bottom="0.75" header="0.3" footer="0.3"/>
  <pageSetup paperSize="9" scale="2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e">
                <anchor moveWithCells="1" sizeWithCells="1">
                  <from>
                    <xdr:col>7</xdr:col>
                    <xdr:colOff>312420</xdr:colOff>
                    <xdr:row>25</xdr:row>
                    <xdr:rowOff>83820</xdr:rowOff>
                  </from>
                  <to>
                    <xdr:col>9</xdr:col>
                    <xdr:colOff>518160</xdr:colOff>
                    <xdr:row>28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output_windprofile">
                <anchor moveWithCells="1" sizeWithCells="1">
                  <from>
                    <xdr:col>13</xdr:col>
                    <xdr:colOff>213360</xdr:colOff>
                    <xdr:row>25</xdr:row>
                    <xdr:rowOff>45720</xdr:rowOff>
                  </from>
                  <to>
                    <xdr:col>16</xdr:col>
                    <xdr:colOff>76200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displayLine0">
                <anchor moveWithCells="1" sizeWithCells="1">
                  <from>
                    <xdr:col>13</xdr:col>
                    <xdr:colOff>60960</xdr:colOff>
                    <xdr:row>32</xdr:row>
                    <xdr:rowOff>190500</xdr:rowOff>
                  </from>
                  <to>
                    <xdr:col>16</xdr:col>
                    <xdr:colOff>68580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displayLine1">
                <anchor moveWithCells="1" sizeWithCells="1">
                  <from>
                    <xdr:col>13</xdr:col>
                    <xdr:colOff>45720</xdr:colOff>
                    <xdr:row>35</xdr:row>
                    <xdr:rowOff>0</xdr:rowOff>
                  </from>
                  <to>
                    <xdr:col>16</xdr:col>
                    <xdr:colOff>68580</xdr:colOff>
                    <xdr:row>36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displayLine2">
                <anchor moveWithCells="1" sizeWithCells="1">
                  <from>
                    <xdr:col>13</xdr:col>
                    <xdr:colOff>45720</xdr:colOff>
                    <xdr:row>36</xdr:row>
                    <xdr:rowOff>175260</xdr:rowOff>
                  </from>
                  <to>
                    <xdr:col>16</xdr:col>
                    <xdr:colOff>68580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displayLine3">
                <anchor moveWithCells="1" sizeWithCells="1">
                  <from>
                    <xdr:col>13</xdr:col>
                    <xdr:colOff>68580</xdr:colOff>
                    <xdr:row>38</xdr:row>
                    <xdr:rowOff>121920</xdr:rowOff>
                  </from>
                  <to>
                    <xdr:col>16</xdr:col>
                    <xdr:colOff>76200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Button7_Click">
                <anchor moveWithCells="1" sizeWithCells="1">
                  <from>
                    <xdr:col>0</xdr:col>
                    <xdr:colOff>228600</xdr:colOff>
                    <xdr:row>19</xdr:row>
                    <xdr:rowOff>76200</xdr:rowOff>
                  </from>
                  <to>
                    <xdr:col>3</xdr:col>
                    <xdr:colOff>358140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Button8_Click">
                <anchor moveWithCells="1" sizeWithCells="1">
                  <from>
                    <xdr:col>0</xdr:col>
                    <xdr:colOff>274320</xdr:colOff>
                    <xdr:row>23</xdr:row>
                    <xdr:rowOff>15240</xdr:rowOff>
                  </from>
                  <to>
                    <xdr:col>3</xdr:col>
                    <xdr:colOff>342900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L18"/>
  <sheetViews>
    <sheetView workbookViewId="0">
      <selection activeCell="E7" sqref="E7"/>
    </sheetView>
  </sheetViews>
  <sheetFormatPr defaultRowHeight="14.4" x14ac:dyDescent="0.25"/>
  <sheetData>
    <row r="2" spans="1:12" ht="46.8" x14ac:dyDescent="0.25">
      <c r="A2" s="24" t="s">
        <v>62</v>
      </c>
      <c r="B2" s="24" t="s">
        <v>63</v>
      </c>
      <c r="C2" s="24" t="s">
        <v>64</v>
      </c>
      <c r="D2" s="24" t="s">
        <v>65</v>
      </c>
    </row>
    <row r="3" spans="1:12" ht="15.6" x14ac:dyDescent="0.25">
      <c r="A3" s="31">
        <v>1</v>
      </c>
      <c r="B3" s="31" t="s">
        <v>11</v>
      </c>
      <c r="C3" s="31">
        <v>0</v>
      </c>
      <c r="D3" s="40"/>
    </row>
    <row r="4" spans="1:12" ht="15.6" x14ac:dyDescent="0.25">
      <c r="A4" s="31">
        <v>2</v>
      </c>
      <c r="B4" s="31" t="s">
        <v>12</v>
      </c>
      <c r="C4" s="31">
        <v>22.5</v>
      </c>
      <c r="D4" s="40"/>
    </row>
    <row r="5" spans="1:12" ht="15.6" x14ac:dyDescent="0.25">
      <c r="A5" s="31">
        <v>3</v>
      </c>
      <c r="B5" s="31" t="s">
        <v>13</v>
      </c>
      <c r="C5" s="31">
        <v>45</v>
      </c>
      <c r="D5" s="40"/>
    </row>
    <row r="6" spans="1:12" ht="15.6" x14ac:dyDescent="0.25">
      <c r="A6" s="31">
        <v>4</v>
      </c>
      <c r="B6" s="31" t="s">
        <v>14</v>
      </c>
      <c r="C6" s="31">
        <v>67.5</v>
      </c>
      <c r="D6" s="40"/>
    </row>
    <row r="7" spans="1:12" ht="15.6" x14ac:dyDescent="0.25">
      <c r="A7" s="31">
        <v>5</v>
      </c>
      <c r="B7" s="31" t="s">
        <v>15</v>
      </c>
      <c r="C7" s="31">
        <v>90</v>
      </c>
      <c r="D7" s="40">
        <v>0.35</v>
      </c>
      <c r="I7" t="s">
        <v>94</v>
      </c>
      <c r="L7" t="s">
        <v>96</v>
      </c>
    </row>
    <row r="8" spans="1:12" ht="15.6" x14ac:dyDescent="0.25">
      <c r="A8" s="31">
        <v>6</v>
      </c>
      <c r="B8" s="31" t="s">
        <v>16</v>
      </c>
      <c r="C8" s="31">
        <v>112.5</v>
      </c>
      <c r="D8" s="40"/>
      <c r="I8" t="s">
        <v>95</v>
      </c>
    </row>
    <row r="9" spans="1:12" ht="15.6" x14ac:dyDescent="0.25">
      <c r="A9" s="31">
        <v>7</v>
      </c>
      <c r="B9" s="31" t="s">
        <v>17</v>
      </c>
      <c r="C9" s="31">
        <v>135</v>
      </c>
      <c r="D9" s="40"/>
    </row>
    <row r="10" spans="1:12" ht="15.6" x14ac:dyDescent="0.25">
      <c r="A10" s="31">
        <v>8</v>
      </c>
      <c r="B10" s="31" t="s">
        <v>18</v>
      </c>
      <c r="C10" s="31">
        <v>157.5</v>
      </c>
      <c r="D10" s="40"/>
    </row>
    <row r="11" spans="1:12" ht="15.6" x14ac:dyDescent="0.25">
      <c r="A11" s="31">
        <v>9</v>
      </c>
      <c r="B11" s="31" t="s">
        <v>19</v>
      </c>
      <c r="C11" s="31">
        <v>180</v>
      </c>
      <c r="D11" s="40"/>
    </row>
    <row r="12" spans="1:12" ht="15.6" x14ac:dyDescent="0.25">
      <c r="A12" s="31">
        <v>10</v>
      </c>
      <c r="B12" s="31" t="s">
        <v>20</v>
      </c>
      <c r="C12" s="31">
        <v>202.5</v>
      </c>
      <c r="D12" s="40"/>
    </row>
    <row r="13" spans="1:12" ht="15.6" x14ac:dyDescent="0.25">
      <c r="A13" s="31">
        <v>11</v>
      </c>
      <c r="B13" s="31" t="s">
        <v>21</v>
      </c>
      <c r="C13" s="31">
        <v>225</v>
      </c>
      <c r="D13" s="40"/>
    </row>
    <row r="14" spans="1:12" ht="15.6" x14ac:dyDescent="0.25">
      <c r="A14" s="31">
        <v>12</v>
      </c>
      <c r="B14" s="31" t="s">
        <v>22</v>
      </c>
      <c r="C14" s="31">
        <v>247.5</v>
      </c>
      <c r="D14" s="40"/>
    </row>
    <row r="15" spans="1:12" ht="15.6" x14ac:dyDescent="0.25">
      <c r="A15" s="31">
        <v>13</v>
      </c>
      <c r="B15" s="31" t="s">
        <v>23</v>
      </c>
      <c r="C15" s="31">
        <v>270</v>
      </c>
      <c r="D15" s="40"/>
    </row>
    <row r="16" spans="1:12" ht="15.6" x14ac:dyDescent="0.25">
      <c r="A16" s="31">
        <v>14</v>
      </c>
      <c r="B16" s="31" t="s">
        <v>24</v>
      </c>
      <c r="C16" s="31">
        <v>292.5</v>
      </c>
      <c r="D16" s="40"/>
    </row>
    <row r="17" spans="1:4" ht="15.6" x14ac:dyDescent="0.25">
      <c r="A17" s="31">
        <v>15</v>
      </c>
      <c r="B17" s="31" t="s">
        <v>25</v>
      </c>
      <c r="C17" s="31">
        <v>315</v>
      </c>
      <c r="D17" s="40"/>
    </row>
    <row r="18" spans="1:4" ht="15.6" x14ac:dyDescent="0.25">
      <c r="A18" s="31">
        <v>16</v>
      </c>
      <c r="B18" s="31" t="s">
        <v>26</v>
      </c>
      <c r="C18" s="31">
        <v>337.5</v>
      </c>
      <c r="D18" s="40"/>
    </row>
  </sheetData>
  <phoneticPr fontId="1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pdate">
                <anchor moveWithCells="1" sizeWithCells="1">
                  <from>
                    <xdr:col>5</xdr:col>
                    <xdr:colOff>7620</xdr:colOff>
                    <xdr:row>2</xdr:row>
                    <xdr:rowOff>22860</xdr:rowOff>
                  </from>
                  <to>
                    <xdr:col>6</xdr:col>
                    <xdr:colOff>601980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output_setting">
                <anchor moveWithCells="1" sizeWithCells="1">
                  <from>
                    <xdr:col>8</xdr:col>
                    <xdr:colOff>7620</xdr:colOff>
                    <xdr:row>2</xdr:row>
                    <xdr:rowOff>7620</xdr:rowOff>
                  </from>
                  <to>
                    <xdr:col>10</xdr:col>
                    <xdr:colOff>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output_runSim">
                <anchor moveWithCells="1" sizeWithCells="1">
                  <from>
                    <xdr:col>11</xdr:col>
                    <xdr:colOff>7620</xdr:colOff>
                    <xdr:row>1</xdr:row>
                    <xdr:rowOff>563880</xdr:rowOff>
                  </from>
                  <to>
                    <xdr:col>12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1:R126"/>
  <sheetViews>
    <sheetView topLeftCell="A7" workbookViewId="0">
      <selection activeCell="C3" sqref="C3"/>
    </sheetView>
  </sheetViews>
  <sheetFormatPr defaultRowHeight="14.4" x14ac:dyDescent="0.25"/>
  <cols>
    <col min="2" max="2" width="10.88671875" customWidth="1"/>
    <col min="3" max="3" width="17.88671875" customWidth="1"/>
    <col min="4" max="4" width="9.6640625" customWidth="1"/>
    <col min="5" max="5" width="12.88671875" customWidth="1"/>
    <col min="7" max="7" width="9.5546875" customWidth="1"/>
    <col min="8" max="8" width="10" style="11" customWidth="1"/>
    <col min="9" max="9" width="17.88671875" customWidth="1"/>
    <col min="10" max="10" width="9.44140625" customWidth="1"/>
    <col min="11" max="11" width="10.44140625" customWidth="1"/>
  </cols>
  <sheetData>
    <row r="1" spans="2:17" ht="27.75" customHeight="1" x14ac:dyDescent="0.25">
      <c r="B1" s="1"/>
      <c r="C1" s="1"/>
      <c r="D1" s="1"/>
      <c r="E1" s="21" t="s">
        <v>9</v>
      </c>
      <c r="F1" s="21">
        <v>49</v>
      </c>
      <c r="G1" s="1"/>
      <c r="H1" s="71"/>
      <c r="I1" s="1"/>
      <c r="J1" s="1"/>
    </row>
    <row r="2" spans="2:17" x14ac:dyDescent="0.25">
      <c r="B2" s="2" t="s">
        <v>0</v>
      </c>
      <c r="C2" s="3" t="s">
        <v>280</v>
      </c>
      <c r="D2" s="1" t="s">
        <v>6</v>
      </c>
      <c r="E2" s="6" t="s">
        <v>2</v>
      </c>
      <c r="F2" s="6" t="s">
        <v>3</v>
      </c>
      <c r="G2" s="6" t="s">
        <v>4</v>
      </c>
      <c r="H2" s="72" t="s">
        <v>5</v>
      </c>
      <c r="I2" s="10" t="s">
        <v>8</v>
      </c>
      <c r="J2" s="1"/>
    </row>
    <row r="3" spans="2:17" x14ac:dyDescent="0.25">
      <c r="B3" s="2" t="s">
        <v>1</v>
      </c>
      <c r="C3" s="43" t="s">
        <v>276</v>
      </c>
      <c r="D3" s="1" t="s">
        <v>6</v>
      </c>
      <c r="E3" s="7" t="s">
        <v>98</v>
      </c>
      <c r="F3" s="8">
        <v>1960.18</v>
      </c>
      <c r="G3" s="8">
        <v>1934.37</v>
      </c>
      <c r="H3" s="73">
        <v>51.9</v>
      </c>
      <c r="I3" s="9"/>
      <c r="J3" s="44"/>
      <c r="K3" s="44"/>
      <c r="L3" s="44"/>
      <c r="M3" s="44"/>
      <c r="N3" s="44"/>
      <c r="O3" s="44"/>
      <c r="P3" s="44"/>
      <c r="Q3" s="44"/>
    </row>
    <row r="4" spans="2:17" x14ac:dyDescent="0.25">
      <c r="B4" s="1"/>
      <c r="C4" s="1"/>
      <c r="D4" s="1" t="s">
        <v>6</v>
      </c>
      <c r="E4" s="7" t="s">
        <v>99</v>
      </c>
      <c r="F4" s="8">
        <v>1963.84</v>
      </c>
      <c r="G4" s="8">
        <v>1933.24</v>
      </c>
      <c r="H4" s="73">
        <v>51.9</v>
      </c>
      <c r="I4" s="9"/>
      <c r="J4" s="44"/>
      <c r="K4" s="44"/>
      <c r="L4" s="44"/>
      <c r="M4" s="44"/>
      <c r="N4" s="44"/>
      <c r="O4" s="44"/>
      <c r="P4" s="44"/>
      <c r="Q4" s="44"/>
    </row>
    <row r="5" spans="2:17" x14ac:dyDescent="0.25">
      <c r="B5" s="1"/>
      <c r="C5" s="1"/>
      <c r="D5" s="1" t="s">
        <v>6</v>
      </c>
      <c r="E5" s="7" t="s">
        <v>100</v>
      </c>
      <c r="F5" s="8">
        <v>1964.6</v>
      </c>
      <c r="G5" s="8">
        <v>1933.6</v>
      </c>
      <c r="H5" s="73">
        <v>51.9</v>
      </c>
      <c r="I5" s="9"/>
      <c r="J5" s="44"/>
      <c r="K5" s="44"/>
      <c r="L5" s="44"/>
      <c r="M5" s="44"/>
      <c r="N5" s="44"/>
      <c r="O5" s="44"/>
      <c r="P5" s="44"/>
      <c r="Q5" s="44"/>
    </row>
    <row r="6" spans="2:17" x14ac:dyDescent="0.25">
      <c r="B6" s="1"/>
      <c r="C6" s="1"/>
      <c r="D6" s="1" t="s">
        <v>6</v>
      </c>
      <c r="E6" s="7" t="s">
        <v>101</v>
      </c>
      <c r="F6" s="8">
        <v>1968.52</v>
      </c>
      <c r="G6" s="8">
        <v>1935.47</v>
      </c>
      <c r="H6" s="73">
        <v>51.9</v>
      </c>
      <c r="I6" s="9"/>
      <c r="J6" s="44"/>
      <c r="K6" s="44"/>
      <c r="L6" s="44"/>
      <c r="M6" s="44"/>
      <c r="N6" s="44"/>
      <c r="O6" s="44"/>
      <c r="P6" s="44"/>
      <c r="Q6" s="44"/>
    </row>
    <row r="7" spans="2:17" x14ac:dyDescent="0.25">
      <c r="B7" s="1"/>
      <c r="C7" s="1"/>
      <c r="D7" s="1" t="s">
        <v>6</v>
      </c>
      <c r="E7" s="7" t="s">
        <v>102</v>
      </c>
      <c r="F7" s="8">
        <v>1972.21</v>
      </c>
      <c r="G7" s="8">
        <v>1937.32</v>
      </c>
      <c r="H7" s="73">
        <v>51.9</v>
      </c>
      <c r="I7" s="9"/>
      <c r="J7" s="44"/>
      <c r="K7" s="44"/>
      <c r="L7" s="44"/>
      <c r="M7" s="44"/>
      <c r="N7" s="44"/>
      <c r="O7" s="44"/>
      <c r="P7" s="44"/>
      <c r="Q7" s="44"/>
    </row>
    <row r="8" spans="2:17" x14ac:dyDescent="0.25">
      <c r="B8" s="1"/>
      <c r="C8" s="1"/>
      <c r="D8" s="1" t="s">
        <v>6</v>
      </c>
      <c r="E8" s="7" t="s">
        <v>103</v>
      </c>
      <c r="F8" s="8">
        <v>1975.24</v>
      </c>
      <c r="G8" s="8">
        <v>1938.98</v>
      </c>
      <c r="H8" s="73">
        <v>51.9</v>
      </c>
      <c r="I8" s="9"/>
      <c r="J8" s="44"/>
      <c r="K8" s="44"/>
      <c r="L8" s="44"/>
      <c r="M8" s="44"/>
      <c r="N8" s="44"/>
      <c r="O8" s="44"/>
      <c r="P8" s="44"/>
      <c r="Q8" s="44"/>
    </row>
    <row r="9" spans="2:17" x14ac:dyDescent="0.25">
      <c r="B9" s="2" t="s">
        <v>0</v>
      </c>
      <c r="C9" s="3" t="s">
        <v>278</v>
      </c>
      <c r="D9" s="1" t="s">
        <v>6</v>
      </c>
      <c r="E9" s="7" t="s">
        <v>104</v>
      </c>
      <c r="F9" s="8">
        <v>1976.07</v>
      </c>
      <c r="G9" s="8">
        <v>1940.2</v>
      </c>
      <c r="H9" s="73">
        <v>51.9</v>
      </c>
      <c r="I9" s="9"/>
      <c r="J9" s="44"/>
      <c r="K9" s="44"/>
      <c r="L9" s="44"/>
      <c r="M9" s="44"/>
      <c r="N9" s="44"/>
      <c r="O9" s="44"/>
      <c r="P9" s="44"/>
      <c r="Q9" s="44"/>
    </row>
    <row r="10" spans="2:17" x14ac:dyDescent="0.25">
      <c r="B10" s="2" t="s">
        <v>1</v>
      </c>
      <c r="C10" s="3" t="s">
        <v>279</v>
      </c>
      <c r="D10" s="1" t="s">
        <v>6</v>
      </c>
      <c r="E10" s="7" t="s">
        <v>105</v>
      </c>
      <c r="F10" s="8">
        <v>1977.04</v>
      </c>
      <c r="G10" s="8">
        <v>1940.93</v>
      </c>
      <c r="H10" s="73">
        <v>51.9</v>
      </c>
      <c r="I10" s="9"/>
      <c r="J10" s="44"/>
      <c r="K10" s="44"/>
      <c r="L10" s="44"/>
      <c r="M10" s="44"/>
      <c r="N10" s="44"/>
      <c r="O10" s="44"/>
      <c r="P10" s="44"/>
      <c r="Q10" s="44"/>
    </row>
    <row r="11" spans="2:17" x14ac:dyDescent="0.25">
      <c r="B11" s="4" t="s">
        <v>7</v>
      </c>
      <c r="C11" s="5" t="s">
        <v>277</v>
      </c>
      <c r="D11" s="1" t="s">
        <v>6</v>
      </c>
      <c r="E11" s="7" t="s">
        <v>106</v>
      </c>
      <c r="F11" s="8">
        <v>1978.25</v>
      </c>
      <c r="G11" s="8">
        <v>1941.54</v>
      </c>
      <c r="H11" s="73">
        <v>51.9</v>
      </c>
      <c r="I11" s="9"/>
      <c r="J11" s="44"/>
      <c r="K11" s="44"/>
      <c r="L11" s="44"/>
      <c r="M11" s="44"/>
      <c r="N11" s="44"/>
      <c r="O11" s="44"/>
      <c r="P11" s="44"/>
      <c r="Q11" s="44"/>
    </row>
    <row r="12" spans="2:17" x14ac:dyDescent="0.25">
      <c r="B12" s="1"/>
      <c r="C12" s="1"/>
      <c r="D12" s="1" t="s">
        <v>6</v>
      </c>
      <c r="E12" s="7" t="s">
        <v>107</v>
      </c>
      <c r="F12" s="8">
        <v>1979.32</v>
      </c>
      <c r="G12" s="8">
        <v>1941.91</v>
      </c>
      <c r="H12" s="73">
        <v>51.9</v>
      </c>
      <c r="I12" s="9"/>
      <c r="J12" s="44"/>
      <c r="K12" s="44"/>
      <c r="L12" s="44"/>
      <c r="M12" s="44"/>
      <c r="N12" s="44"/>
      <c r="O12" s="44"/>
      <c r="P12" s="44"/>
      <c r="Q12" s="44"/>
    </row>
    <row r="13" spans="2:17" x14ac:dyDescent="0.25">
      <c r="B13" s="1"/>
      <c r="C13" s="1"/>
      <c r="D13" s="1" t="s">
        <v>6</v>
      </c>
      <c r="E13" s="7" t="s">
        <v>108</v>
      </c>
      <c r="F13" s="8">
        <v>1980.74</v>
      </c>
      <c r="G13" s="8">
        <v>1941.93</v>
      </c>
      <c r="H13" s="73">
        <v>51.9</v>
      </c>
      <c r="I13" s="9"/>
      <c r="J13" s="44"/>
      <c r="K13" s="44"/>
      <c r="L13" s="44"/>
      <c r="M13" s="44"/>
      <c r="N13" s="44"/>
      <c r="O13" s="44"/>
      <c r="P13" s="44"/>
      <c r="Q13" s="44"/>
    </row>
    <row r="14" spans="2:17" x14ac:dyDescent="0.25">
      <c r="B14" s="1"/>
      <c r="C14" s="1"/>
      <c r="D14" s="1" t="s">
        <v>6</v>
      </c>
      <c r="E14" s="7" t="s">
        <v>109</v>
      </c>
      <c r="F14" s="8">
        <v>1983.92</v>
      </c>
      <c r="G14" s="8">
        <v>1943.45</v>
      </c>
      <c r="H14" s="73">
        <v>51.9</v>
      </c>
      <c r="I14" s="9"/>
      <c r="J14" s="44"/>
      <c r="K14" s="44"/>
      <c r="L14" s="44"/>
      <c r="M14" s="44"/>
      <c r="N14" s="44"/>
      <c r="O14" s="44"/>
      <c r="P14" s="44"/>
      <c r="Q14" s="44"/>
    </row>
    <row r="15" spans="2:17" x14ac:dyDescent="0.25">
      <c r="B15" s="1"/>
      <c r="C15" s="1"/>
      <c r="D15" s="1" t="s">
        <v>6</v>
      </c>
      <c r="E15" s="7" t="s">
        <v>152</v>
      </c>
      <c r="F15" s="8">
        <v>1987.88</v>
      </c>
      <c r="G15" s="8">
        <v>1945.27</v>
      </c>
      <c r="H15" s="71">
        <v>51.9</v>
      </c>
      <c r="I15" s="8"/>
      <c r="J15" s="44"/>
      <c r="K15" s="44"/>
      <c r="L15" s="44"/>
      <c r="M15" s="44"/>
      <c r="N15" s="44"/>
      <c r="O15" s="44"/>
      <c r="P15" s="44"/>
      <c r="Q15" s="44"/>
    </row>
    <row r="16" spans="2:17" x14ac:dyDescent="0.25">
      <c r="B16" s="2" t="s">
        <v>227</v>
      </c>
      <c r="C16" s="3" t="s">
        <v>228</v>
      </c>
      <c r="D16" s="1" t="s">
        <v>6</v>
      </c>
      <c r="E16" s="7" t="s">
        <v>153</v>
      </c>
      <c r="F16" s="8">
        <v>1991.12</v>
      </c>
      <c r="G16" s="8">
        <v>1947.23</v>
      </c>
      <c r="H16" s="71">
        <v>51.9</v>
      </c>
      <c r="I16" s="8"/>
      <c r="J16" s="44"/>
      <c r="K16" s="44"/>
      <c r="L16" s="44"/>
      <c r="M16" s="44"/>
      <c r="N16" s="44"/>
      <c r="O16" s="44"/>
      <c r="P16" s="44"/>
      <c r="Q16" s="44"/>
    </row>
    <row r="17" spans="2:17" x14ac:dyDescent="0.25">
      <c r="B17" s="2" t="s">
        <v>1</v>
      </c>
      <c r="C17" s="42" t="s">
        <v>275</v>
      </c>
      <c r="D17" s="1" t="s">
        <v>6</v>
      </c>
      <c r="E17" s="7" t="s">
        <v>154</v>
      </c>
      <c r="F17" s="8">
        <v>1993.25</v>
      </c>
      <c r="G17" s="8">
        <v>1948.22</v>
      </c>
      <c r="H17" s="71">
        <v>51.9</v>
      </c>
      <c r="I17" s="8"/>
      <c r="J17" s="44"/>
      <c r="K17" s="44"/>
      <c r="L17" s="44"/>
      <c r="M17" s="44"/>
      <c r="N17" s="44"/>
      <c r="O17" s="44"/>
      <c r="P17" s="44"/>
      <c r="Q17" s="44"/>
    </row>
    <row r="18" spans="2:17" x14ac:dyDescent="0.25">
      <c r="B18" s="1"/>
      <c r="C18" s="1"/>
      <c r="D18" s="1" t="s">
        <v>6</v>
      </c>
      <c r="E18" s="7" t="s">
        <v>155</v>
      </c>
      <c r="F18" s="8">
        <v>1996.18</v>
      </c>
      <c r="G18" s="8">
        <v>1949.77</v>
      </c>
      <c r="H18" s="71">
        <v>51.9</v>
      </c>
      <c r="I18" s="8"/>
      <c r="J18" s="44"/>
      <c r="K18" s="44"/>
      <c r="L18" s="44"/>
      <c r="M18" s="44"/>
      <c r="N18" s="44"/>
      <c r="O18" s="44"/>
      <c r="P18" s="44"/>
      <c r="Q18" s="44"/>
    </row>
    <row r="19" spans="2:17" x14ac:dyDescent="0.25">
      <c r="B19" s="1"/>
      <c r="C19" s="1"/>
      <c r="D19" s="1" t="s">
        <v>6</v>
      </c>
      <c r="E19" s="7" t="s">
        <v>156</v>
      </c>
      <c r="F19" s="8">
        <v>1993.39</v>
      </c>
      <c r="G19" s="8">
        <v>1955.94</v>
      </c>
      <c r="H19" s="71">
        <v>51.9</v>
      </c>
      <c r="I19" s="8"/>
      <c r="J19" s="44"/>
      <c r="K19" s="44"/>
      <c r="L19" s="44"/>
      <c r="M19" s="44"/>
      <c r="N19" s="44"/>
      <c r="O19" s="44"/>
      <c r="P19" s="44"/>
      <c r="Q19" s="44"/>
    </row>
    <row r="20" spans="2:17" x14ac:dyDescent="0.25">
      <c r="B20" s="1"/>
      <c r="C20" s="1"/>
      <c r="D20" s="1" t="s">
        <v>6</v>
      </c>
      <c r="E20" s="7" t="s">
        <v>157</v>
      </c>
      <c r="F20" s="8">
        <v>1990.61</v>
      </c>
      <c r="G20" s="8">
        <v>1954.57</v>
      </c>
      <c r="H20" s="71">
        <v>51.9</v>
      </c>
      <c r="I20" s="8"/>
      <c r="J20" s="44"/>
      <c r="K20" s="44"/>
      <c r="L20" s="44"/>
      <c r="M20" s="44"/>
      <c r="N20" s="44"/>
      <c r="O20" s="44"/>
      <c r="P20" s="44"/>
      <c r="Q20" s="44"/>
    </row>
    <row r="21" spans="2:17" x14ac:dyDescent="0.25">
      <c r="B21" s="1"/>
      <c r="C21" s="1"/>
      <c r="D21" s="1" t="s">
        <v>6</v>
      </c>
      <c r="E21" s="7" t="s">
        <v>158</v>
      </c>
      <c r="F21" s="8">
        <v>1984.78</v>
      </c>
      <c r="G21" s="8">
        <v>1953.41</v>
      </c>
      <c r="H21" s="71">
        <v>51.9</v>
      </c>
      <c r="I21" s="8"/>
      <c r="J21" s="44"/>
      <c r="K21" s="44"/>
      <c r="L21" s="44"/>
      <c r="M21" s="44"/>
      <c r="N21" s="44"/>
      <c r="O21" s="44"/>
      <c r="P21" s="44"/>
      <c r="Q21" s="44"/>
    </row>
    <row r="22" spans="2:17" x14ac:dyDescent="0.25">
      <c r="B22" s="1"/>
      <c r="C22" s="1"/>
      <c r="D22" s="1" t="s">
        <v>6</v>
      </c>
      <c r="E22" s="7" t="s">
        <v>159</v>
      </c>
      <c r="F22" s="8">
        <v>1963.18</v>
      </c>
      <c r="G22" s="8">
        <v>1942.21</v>
      </c>
      <c r="H22" s="71">
        <v>51.9</v>
      </c>
      <c r="I22" s="8"/>
      <c r="J22" s="44"/>
      <c r="K22" s="44"/>
      <c r="L22" s="44"/>
      <c r="M22" s="44"/>
      <c r="N22" s="44"/>
      <c r="O22" s="44"/>
      <c r="P22" s="44"/>
      <c r="Q22" s="44"/>
    </row>
    <row r="23" spans="2:17" x14ac:dyDescent="0.25">
      <c r="B23" s="1"/>
      <c r="C23" s="1"/>
      <c r="D23" s="1" t="s">
        <v>6</v>
      </c>
      <c r="E23" s="7" t="s">
        <v>160</v>
      </c>
      <c r="F23" s="1">
        <v>1959.05</v>
      </c>
      <c r="G23" s="1">
        <v>1939.1</v>
      </c>
      <c r="H23" s="71">
        <v>51.9</v>
      </c>
      <c r="I23" s="1"/>
      <c r="J23" s="44"/>
      <c r="K23" s="44"/>
      <c r="L23" s="44"/>
      <c r="M23" s="44"/>
      <c r="N23" s="44"/>
      <c r="O23" s="44"/>
      <c r="P23" s="44"/>
      <c r="Q23" s="44"/>
    </row>
    <row r="24" spans="2:17" x14ac:dyDescent="0.25">
      <c r="B24" s="1"/>
      <c r="C24" s="1"/>
      <c r="D24" s="1" t="s">
        <v>6</v>
      </c>
      <c r="E24" s="7" t="s">
        <v>161</v>
      </c>
      <c r="F24" s="1">
        <v>1954.54</v>
      </c>
      <c r="G24" s="1">
        <v>1939</v>
      </c>
      <c r="H24" s="71">
        <v>51.9</v>
      </c>
      <c r="I24" s="1"/>
      <c r="J24" s="44"/>
      <c r="K24" s="44"/>
      <c r="L24" s="44"/>
      <c r="M24" s="44"/>
      <c r="N24" s="44"/>
      <c r="O24" s="44"/>
      <c r="P24" s="44"/>
      <c r="Q24" s="44"/>
    </row>
    <row r="25" spans="2:17" x14ac:dyDescent="0.25">
      <c r="B25" s="1"/>
      <c r="C25" s="1"/>
      <c r="D25" s="1" t="s">
        <v>6</v>
      </c>
      <c r="E25" s="7" t="s">
        <v>162</v>
      </c>
      <c r="F25" s="1">
        <v>1968.12</v>
      </c>
      <c r="G25" s="1">
        <v>1948.2</v>
      </c>
      <c r="H25" s="71">
        <v>51.9</v>
      </c>
      <c r="I25" s="1"/>
      <c r="J25" s="44"/>
      <c r="K25" s="44"/>
      <c r="L25" s="44"/>
      <c r="M25" s="44"/>
      <c r="N25" s="44"/>
      <c r="O25" s="44"/>
      <c r="P25" s="44"/>
      <c r="Q25" s="44"/>
    </row>
    <row r="26" spans="2:17" x14ac:dyDescent="0.25">
      <c r="B26" s="1"/>
      <c r="C26" s="1"/>
      <c r="D26" s="1" t="s">
        <v>6</v>
      </c>
      <c r="E26" s="7" t="s">
        <v>163</v>
      </c>
      <c r="F26" s="1">
        <v>1960.29</v>
      </c>
      <c r="G26" s="1">
        <v>1948.33</v>
      </c>
      <c r="H26" s="71">
        <v>51.9</v>
      </c>
      <c r="I26" s="1"/>
      <c r="J26" s="44"/>
      <c r="K26" s="44"/>
      <c r="L26" s="44"/>
      <c r="M26" s="44"/>
      <c r="N26" s="44"/>
      <c r="O26" s="44"/>
      <c r="P26" s="44"/>
      <c r="Q26" s="44"/>
    </row>
    <row r="27" spans="2:17" x14ac:dyDescent="0.25">
      <c r="E27" s="7" t="s">
        <v>164</v>
      </c>
      <c r="F27">
        <v>1961.69</v>
      </c>
      <c r="G27">
        <v>1949.84</v>
      </c>
      <c r="H27" s="11">
        <v>51.9</v>
      </c>
      <c r="J27" s="44"/>
      <c r="K27" s="44"/>
      <c r="L27" s="44"/>
      <c r="M27" s="44"/>
      <c r="N27" s="44"/>
      <c r="O27" s="44"/>
      <c r="P27" s="44"/>
      <c r="Q27" s="44"/>
    </row>
    <row r="28" spans="2:17" x14ac:dyDescent="0.25">
      <c r="E28" s="7" t="s">
        <v>165</v>
      </c>
      <c r="F28">
        <v>1962.03</v>
      </c>
      <c r="G28">
        <v>1951.2</v>
      </c>
      <c r="H28" s="11">
        <v>51.9</v>
      </c>
      <c r="J28" s="44"/>
      <c r="K28" s="44"/>
      <c r="L28" s="44"/>
      <c r="M28" s="44"/>
      <c r="N28" s="44"/>
      <c r="O28" s="44"/>
      <c r="P28" s="44"/>
      <c r="Q28" s="44"/>
    </row>
    <row r="29" spans="2:17" x14ac:dyDescent="0.25">
      <c r="E29" s="7" t="s">
        <v>166</v>
      </c>
      <c r="F29">
        <v>1963.48</v>
      </c>
      <c r="G29">
        <v>1952.83</v>
      </c>
      <c r="H29" s="11">
        <v>51.9</v>
      </c>
      <c r="J29" s="44"/>
      <c r="K29" s="44"/>
      <c r="L29" s="44"/>
      <c r="M29" s="44"/>
      <c r="N29" s="44"/>
      <c r="O29" s="44"/>
      <c r="P29" s="44"/>
      <c r="Q29" s="44"/>
    </row>
    <row r="30" spans="2:17" x14ac:dyDescent="0.25">
      <c r="E30" s="7" t="s">
        <v>167</v>
      </c>
      <c r="F30">
        <v>1964.27</v>
      </c>
      <c r="G30">
        <v>1955.23</v>
      </c>
      <c r="H30" s="11">
        <v>51.9</v>
      </c>
      <c r="J30" s="44"/>
      <c r="K30" s="44"/>
      <c r="L30" s="44"/>
      <c r="M30" s="44"/>
      <c r="N30" s="44"/>
      <c r="O30" s="44"/>
      <c r="P30" s="44"/>
      <c r="Q30" s="44"/>
    </row>
    <row r="31" spans="2:17" x14ac:dyDescent="0.25">
      <c r="E31" s="7" t="s">
        <v>168</v>
      </c>
      <c r="F31">
        <v>1965.62</v>
      </c>
      <c r="G31">
        <v>1956.69</v>
      </c>
      <c r="H31" s="11">
        <v>51.9</v>
      </c>
      <c r="J31" s="44"/>
      <c r="K31" s="44"/>
      <c r="L31" s="44"/>
      <c r="M31" s="44"/>
      <c r="N31" s="44"/>
      <c r="O31" s="44"/>
      <c r="P31" s="44"/>
      <c r="Q31" s="44"/>
    </row>
    <row r="32" spans="2:17" x14ac:dyDescent="0.25">
      <c r="E32" s="7" t="s">
        <v>169</v>
      </c>
      <c r="F32">
        <v>1968.17</v>
      </c>
      <c r="G32">
        <v>1959.74</v>
      </c>
      <c r="H32" s="11">
        <v>51.9</v>
      </c>
      <c r="J32" s="44"/>
      <c r="K32" s="44"/>
      <c r="L32" s="44"/>
      <c r="M32" s="44"/>
      <c r="N32" s="44"/>
      <c r="O32" s="44"/>
      <c r="P32" s="44"/>
      <c r="Q32" s="44"/>
    </row>
    <row r="33" spans="5:17" x14ac:dyDescent="0.25">
      <c r="E33" s="7" t="s">
        <v>170</v>
      </c>
      <c r="F33">
        <v>1970.48</v>
      </c>
      <c r="G33">
        <v>1962.35</v>
      </c>
      <c r="H33" s="11">
        <v>51.9</v>
      </c>
      <c r="J33" s="44"/>
      <c r="K33" s="44"/>
      <c r="L33" s="44"/>
      <c r="M33" s="44"/>
      <c r="N33" s="44"/>
      <c r="O33" s="44"/>
      <c r="P33" s="44"/>
      <c r="Q33" s="44"/>
    </row>
    <row r="34" spans="5:17" x14ac:dyDescent="0.25">
      <c r="E34" s="7" t="s">
        <v>171</v>
      </c>
      <c r="F34">
        <v>1972.03</v>
      </c>
      <c r="G34">
        <v>1962.98</v>
      </c>
      <c r="H34" s="11">
        <v>51.9</v>
      </c>
      <c r="J34" s="44"/>
      <c r="K34" s="44"/>
      <c r="L34" s="44"/>
      <c r="M34" s="44"/>
      <c r="N34" s="44"/>
      <c r="O34" s="44"/>
      <c r="P34" s="44"/>
      <c r="Q34" s="44"/>
    </row>
    <row r="35" spans="5:17" x14ac:dyDescent="0.25">
      <c r="E35" s="7" t="s">
        <v>172</v>
      </c>
      <c r="F35">
        <v>1972.73</v>
      </c>
      <c r="G35">
        <v>1963.66</v>
      </c>
      <c r="H35" s="11">
        <v>51.9</v>
      </c>
      <c r="J35" s="44"/>
      <c r="K35" s="44"/>
      <c r="L35" s="44"/>
      <c r="M35" s="44"/>
      <c r="N35" s="44"/>
      <c r="O35" s="44"/>
      <c r="P35" s="44"/>
      <c r="Q35" s="44"/>
    </row>
    <row r="36" spans="5:17" x14ac:dyDescent="0.25">
      <c r="E36" s="7" t="s">
        <v>173</v>
      </c>
      <c r="F36">
        <v>1973.61</v>
      </c>
      <c r="G36">
        <v>1964.6</v>
      </c>
      <c r="H36" s="11">
        <v>51.9</v>
      </c>
      <c r="J36" s="44"/>
      <c r="K36" s="44"/>
      <c r="L36" s="44"/>
      <c r="M36" s="44"/>
      <c r="N36" s="44"/>
      <c r="O36" s="44"/>
      <c r="P36" s="44"/>
      <c r="Q36" s="44"/>
    </row>
    <row r="37" spans="5:17" x14ac:dyDescent="0.25">
      <c r="E37" s="7" t="s">
        <v>174</v>
      </c>
      <c r="F37">
        <v>1974.25</v>
      </c>
      <c r="G37">
        <v>1965.76</v>
      </c>
      <c r="H37" s="11">
        <v>51.9</v>
      </c>
      <c r="J37" s="44"/>
      <c r="K37" s="44"/>
      <c r="L37" s="44"/>
      <c r="M37" s="44"/>
      <c r="N37" s="44"/>
      <c r="O37" s="44"/>
      <c r="P37" s="44"/>
      <c r="Q37" s="44"/>
    </row>
    <row r="38" spans="5:17" x14ac:dyDescent="0.25">
      <c r="E38" s="7" t="s">
        <v>231</v>
      </c>
      <c r="F38">
        <v>1974.56</v>
      </c>
      <c r="G38">
        <v>1967.14</v>
      </c>
      <c r="H38" s="11">
        <v>51.9</v>
      </c>
      <c r="J38" s="44"/>
      <c r="K38" s="44"/>
      <c r="L38" s="44"/>
      <c r="M38" s="44"/>
      <c r="N38" s="44"/>
      <c r="O38" s="44"/>
      <c r="P38" s="44"/>
      <c r="Q38" s="44"/>
    </row>
    <row r="39" spans="5:17" x14ac:dyDescent="0.25">
      <c r="E39" s="7" t="s">
        <v>175</v>
      </c>
      <c r="F39">
        <v>1976.76</v>
      </c>
      <c r="G39">
        <v>1969.84</v>
      </c>
      <c r="H39" s="11">
        <v>51.9</v>
      </c>
      <c r="J39" s="44"/>
      <c r="K39" s="44"/>
      <c r="L39" s="44"/>
      <c r="M39" s="44"/>
      <c r="N39" s="44"/>
      <c r="O39" s="44"/>
      <c r="P39" s="44"/>
      <c r="Q39" s="44"/>
    </row>
    <row r="40" spans="5:17" x14ac:dyDescent="0.25">
      <c r="E40" s="7" t="s">
        <v>176</v>
      </c>
      <c r="F40">
        <v>1979.32</v>
      </c>
      <c r="G40">
        <v>1972.87</v>
      </c>
      <c r="H40" s="11">
        <v>51.9</v>
      </c>
      <c r="J40" s="44"/>
      <c r="K40" s="44"/>
      <c r="L40" s="44"/>
      <c r="M40" s="44"/>
      <c r="N40" s="44"/>
      <c r="O40" s="44"/>
      <c r="P40" s="44"/>
      <c r="Q40" s="44"/>
    </row>
    <row r="41" spans="5:17" x14ac:dyDescent="0.25">
      <c r="E41" s="7" t="s">
        <v>177</v>
      </c>
      <c r="F41">
        <v>1981.92</v>
      </c>
      <c r="G41">
        <v>1975.77</v>
      </c>
      <c r="H41" s="11">
        <v>51.9</v>
      </c>
      <c r="J41" s="44"/>
      <c r="K41" s="44"/>
      <c r="L41" s="44"/>
      <c r="M41" s="44"/>
      <c r="N41" s="44"/>
      <c r="O41" s="44"/>
      <c r="P41" s="44"/>
      <c r="Q41" s="44"/>
    </row>
    <row r="42" spans="5:17" x14ac:dyDescent="0.25">
      <c r="E42" s="7" t="s">
        <v>178</v>
      </c>
      <c r="F42">
        <v>1983.54</v>
      </c>
      <c r="G42">
        <v>1977.6</v>
      </c>
      <c r="H42" s="11">
        <v>51.9</v>
      </c>
      <c r="J42" s="44"/>
      <c r="K42" s="44"/>
      <c r="L42" s="44"/>
      <c r="M42" s="44"/>
      <c r="N42" s="44"/>
      <c r="O42" s="44"/>
      <c r="P42" s="44"/>
      <c r="Q42" s="44"/>
    </row>
    <row r="43" spans="5:17" x14ac:dyDescent="0.25">
      <c r="E43" s="7" t="s">
        <v>179</v>
      </c>
      <c r="F43">
        <v>1984.66</v>
      </c>
      <c r="G43">
        <v>1978.88</v>
      </c>
      <c r="H43" s="11">
        <v>51.9</v>
      </c>
      <c r="J43" s="44"/>
      <c r="K43" s="44"/>
      <c r="L43" s="44"/>
      <c r="M43" s="44"/>
      <c r="N43" s="44"/>
      <c r="O43" s="44"/>
      <c r="P43" s="44"/>
      <c r="Q43" s="44"/>
    </row>
    <row r="44" spans="5:17" x14ac:dyDescent="0.25">
      <c r="E44" s="7" t="s">
        <v>180</v>
      </c>
      <c r="F44">
        <v>1985.36</v>
      </c>
      <c r="G44">
        <v>1979.58</v>
      </c>
      <c r="H44" s="11">
        <v>51.9</v>
      </c>
      <c r="J44" s="44"/>
      <c r="K44" s="44"/>
      <c r="L44" s="44"/>
      <c r="M44" s="44"/>
      <c r="N44" s="44"/>
      <c r="O44" s="44"/>
      <c r="P44" s="44"/>
      <c r="Q44" s="44"/>
    </row>
    <row r="45" spans="5:17" x14ac:dyDescent="0.25">
      <c r="E45" s="7" t="s">
        <v>181</v>
      </c>
      <c r="F45">
        <v>1990.86</v>
      </c>
      <c r="G45">
        <v>1975.69</v>
      </c>
      <c r="H45" s="11">
        <v>51.9</v>
      </c>
      <c r="J45" s="44"/>
      <c r="K45" s="44"/>
      <c r="L45" s="44"/>
      <c r="M45" s="44"/>
      <c r="N45" s="44"/>
      <c r="O45" s="44"/>
      <c r="P45" s="44"/>
      <c r="Q45" s="44"/>
    </row>
    <row r="46" spans="5:17" x14ac:dyDescent="0.25">
      <c r="E46" s="7" t="s">
        <v>182</v>
      </c>
      <c r="F46">
        <v>1988.78</v>
      </c>
      <c r="G46">
        <v>1973.22</v>
      </c>
      <c r="H46" s="11">
        <v>51.9</v>
      </c>
      <c r="J46" s="44"/>
      <c r="K46" s="44"/>
      <c r="L46" s="44"/>
      <c r="M46" s="44"/>
      <c r="N46" s="44"/>
      <c r="O46" s="44"/>
      <c r="P46" s="44"/>
      <c r="Q46" s="44"/>
    </row>
    <row r="47" spans="5:17" x14ac:dyDescent="0.25">
      <c r="E47" s="7" t="s">
        <v>183</v>
      </c>
      <c r="F47">
        <v>1987.8</v>
      </c>
      <c r="G47">
        <v>1968.18</v>
      </c>
      <c r="H47" s="11">
        <v>51.9</v>
      </c>
      <c r="J47" s="44"/>
      <c r="K47" s="44"/>
      <c r="L47" s="44"/>
      <c r="M47" s="44"/>
      <c r="N47" s="44"/>
      <c r="O47" s="44"/>
      <c r="P47" s="44"/>
      <c r="Q47" s="44"/>
    </row>
    <row r="48" spans="5:17" x14ac:dyDescent="0.25">
      <c r="E48" s="7" t="s">
        <v>184</v>
      </c>
      <c r="F48">
        <v>1990.34</v>
      </c>
      <c r="G48">
        <v>1965.84</v>
      </c>
      <c r="H48" s="11">
        <v>51.9</v>
      </c>
      <c r="J48" s="44"/>
      <c r="K48" s="44"/>
      <c r="L48" s="44"/>
      <c r="M48" s="44"/>
      <c r="N48" s="44"/>
      <c r="O48" s="44"/>
      <c r="P48" s="44"/>
      <c r="Q48" s="44"/>
    </row>
    <row r="49" spans="5:17" x14ac:dyDescent="0.25">
      <c r="E49" s="7" t="s">
        <v>185</v>
      </c>
      <c r="F49">
        <v>1990.91</v>
      </c>
      <c r="G49">
        <v>1964.36</v>
      </c>
      <c r="H49" s="11">
        <v>51.9</v>
      </c>
      <c r="J49" s="44"/>
      <c r="K49" s="44"/>
      <c r="L49" s="44"/>
      <c r="M49" s="44"/>
      <c r="N49" s="44"/>
      <c r="O49" s="44"/>
      <c r="P49" s="44"/>
      <c r="Q49" s="44"/>
    </row>
    <row r="50" spans="5:17" x14ac:dyDescent="0.25">
      <c r="E50" s="7" t="s">
        <v>186</v>
      </c>
      <c r="F50">
        <v>1990.9</v>
      </c>
      <c r="G50">
        <v>1960.7</v>
      </c>
      <c r="H50" s="11">
        <v>51.9</v>
      </c>
      <c r="J50" s="44"/>
      <c r="K50" s="44"/>
      <c r="L50" s="44"/>
      <c r="M50" s="44"/>
      <c r="N50" s="44"/>
      <c r="O50" s="44"/>
      <c r="P50" s="44"/>
      <c r="Q50" s="44"/>
    </row>
    <row r="51" spans="5:17" x14ac:dyDescent="0.25">
      <c r="E51" s="7" t="s">
        <v>187</v>
      </c>
      <c r="F51">
        <v>1987.06</v>
      </c>
      <c r="G51">
        <v>1960.84</v>
      </c>
      <c r="H51" s="11">
        <v>51.9</v>
      </c>
      <c r="J51" s="44"/>
      <c r="K51" s="44"/>
      <c r="L51" s="44"/>
      <c r="M51" s="44"/>
      <c r="N51" s="44"/>
      <c r="O51" s="44"/>
      <c r="P51" s="44"/>
      <c r="Q51" s="44"/>
    </row>
    <row r="52" spans="5:17" x14ac:dyDescent="0.25">
      <c r="E52" s="7" t="s">
        <v>188</v>
      </c>
      <c r="J52" s="44"/>
      <c r="K52" s="44"/>
      <c r="L52" s="44"/>
      <c r="M52" s="44"/>
      <c r="N52" s="44"/>
      <c r="O52" s="44"/>
      <c r="P52" s="44"/>
      <c r="Q52" s="44"/>
    </row>
    <row r="53" spans="5:17" x14ac:dyDescent="0.25">
      <c r="E53" s="7" t="s">
        <v>189</v>
      </c>
      <c r="J53" s="44"/>
      <c r="K53" s="44"/>
      <c r="L53" s="44"/>
      <c r="M53" s="44"/>
      <c r="N53" s="44"/>
      <c r="O53" s="44"/>
      <c r="P53" s="44"/>
      <c r="Q53" s="44"/>
    </row>
    <row r="54" spans="5:17" x14ac:dyDescent="0.25">
      <c r="E54" s="7" t="s">
        <v>190</v>
      </c>
      <c r="J54" s="44"/>
      <c r="K54" s="44"/>
      <c r="L54" s="44"/>
      <c r="M54" s="44"/>
      <c r="N54" s="44"/>
      <c r="O54" s="44"/>
      <c r="P54" s="44"/>
      <c r="Q54" s="44"/>
    </row>
    <row r="55" spans="5:17" x14ac:dyDescent="0.25">
      <c r="E55" s="7" t="s">
        <v>191</v>
      </c>
      <c r="J55" s="44"/>
      <c r="K55" s="44"/>
      <c r="L55" s="44"/>
      <c r="M55" s="44"/>
      <c r="N55" s="44"/>
      <c r="O55" s="44"/>
      <c r="P55" s="44"/>
      <c r="Q55" s="44"/>
    </row>
    <row r="56" spans="5:17" x14ac:dyDescent="0.25">
      <c r="E56" s="7" t="s">
        <v>192</v>
      </c>
      <c r="J56" s="44"/>
      <c r="K56" s="44"/>
      <c r="L56" s="44"/>
      <c r="M56" s="44"/>
      <c r="N56" s="44"/>
      <c r="O56" s="44"/>
      <c r="P56" s="44"/>
      <c r="Q56" s="44"/>
    </row>
    <row r="57" spans="5:17" x14ac:dyDescent="0.25">
      <c r="E57" s="7" t="s">
        <v>193</v>
      </c>
      <c r="J57" s="44"/>
      <c r="K57" s="44"/>
      <c r="L57" s="44"/>
      <c r="M57" s="44"/>
      <c r="N57" s="44"/>
      <c r="O57" s="44"/>
      <c r="P57" s="44"/>
      <c r="Q57" s="44"/>
    </row>
    <row r="58" spans="5:17" x14ac:dyDescent="0.25">
      <c r="E58" s="7" t="s">
        <v>194</v>
      </c>
      <c r="J58" s="44"/>
      <c r="K58" s="44"/>
      <c r="L58" s="44"/>
      <c r="M58" s="44"/>
      <c r="N58" s="44"/>
      <c r="O58" s="44"/>
      <c r="P58" s="44"/>
      <c r="Q58" s="44"/>
    </row>
    <row r="59" spans="5:17" x14ac:dyDescent="0.25">
      <c r="E59" s="7" t="s">
        <v>195</v>
      </c>
      <c r="J59" s="44"/>
      <c r="K59" s="44"/>
      <c r="L59" s="44"/>
      <c r="M59" s="44"/>
      <c r="N59" s="44"/>
      <c r="O59" s="44"/>
      <c r="P59" s="44"/>
      <c r="Q59" s="44"/>
    </row>
    <row r="60" spans="5:17" x14ac:dyDescent="0.25">
      <c r="E60" s="7" t="s">
        <v>196</v>
      </c>
      <c r="J60" s="44"/>
      <c r="K60" s="44"/>
      <c r="L60" s="44"/>
      <c r="M60" s="44"/>
      <c r="N60" s="44"/>
      <c r="O60" s="44"/>
      <c r="P60" s="44"/>
      <c r="Q60" s="44"/>
    </row>
    <row r="61" spans="5:17" x14ac:dyDescent="0.25">
      <c r="E61" s="7" t="s">
        <v>197</v>
      </c>
      <c r="J61" s="44"/>
      <c r="K61" s="44"/>
      <c r="L61" s="44"/>
      <c r="M61" s="44"/>
      <c r="N61" s="44"/>
      <c r="O61" s="44"/>
      <c r="P61" s="44"/>
      <c r="Q61" s="44"/>
    </row>
    <row r="62" spans="5:17" x14ac:dyDescent="0.25">
      <c r="E62" s="7" t="s">
        <v>198</v>
      </c>
      <c r="J62" s="44"/>
      <c r="K62" s="44"/>
      <c r="L62" s="44"/>
      <c r="M62" s="44"/>
      <c r="N62" s="44"/>
      <c r="O62" s="44"/>
      <c r="P62" s="44"/>
      <c r="Q62" s="44"/>
    </row>
    <row r="63" spans="5:17" x14ac:dyDescent="0.25">
      <c r="E63" s="7" t="s">
        <v>199</v>
      </c>
      <c r="J63" s="44"/>
      <c r="K63" s="44"/>
      <c r="L63" s="44"/>
      <c r="M63" s="44"/>
      <c r="N63" s="44"/>
      <c r="O63" s="44"/>
      <c r="P63" s="44"/>
      <c r="Q63" s="44"/>
    </row>
    <row r="64" spans="5:17" x14ac:dyDescent="0.25">
      <c r="E64" s="7" t="s">
        <v>200</v>
      </c>
      <c r="J64" s="44"/>
      <c r="K64" s="44"/>
      <c r="L64" s="44"/>
      <c r="M64" s="44"/>
      <c r="N64" s="44"/>
      <c r="O64" s="44"/>
      <c r="P64" s="44"/>
      <c r="Q64" s="44"/>
    </row>
    <row r="65" spans="5:17" x14ac:dyDescent="0.25">
      <c r="E65" s="7" t="s">
        <v>201</v>
      </c>
      <c r="J65" s="44"/>
      <c r="K65" s="44"/>
      <c r="L65" s="44"/>
      <c r="M65" s="44"/>
      <c r="N65" s="44"/>
      <c r="O65" s="44"/>
      <c r="P65" s="44"/>
      <c r="Q65" s="44"/>
    </row>
    <row r="66" spans="5:17" x14ac:dyDescent="0.25">
      <c r="E66" s="7" t="s">
        <v>202</v>
      </c>
      <c r="J66" s="44"/>
      <c r="K66" s="44"/>
      <c r="L66" s="44"/>
      <c r="M66" s="44"/>
      <c r="N66" s="44"/>
      <c r="O66" s="44"/>
      <c r="P66" s="44"/>
      <c r="Q66" s="44"/>
    </row>
    <row r="67" spans="5:17" x14ac:dyDescent="0.25">
      <c r="E67" s="7" t="s">
        <v>203</v>
      </c>
      <c r="J67" s="44"/>
      <c r="K67" s="44"/>
      <c r="L67" s="44"/>
      <c r="M67" s="44"/>
      <c r="N67" s="44"/>
      <c r="O67" s="44"/>
      <c r="P67" s="44"/>
      <c r="Q67" s="44"/>
    </row>
    <row r="68" spans="5:17" x14ac:dyDescent="0.25">
      <c r="E68" s="7" t="s">
        <v>204</v>
      </c>
      <c r="J68" s="44"/>
      <c r="K68" s="44"/>
      <c r="L68" s="44"/>
      <c r="M68" s="44"/>
      <c r="N68" s="44"/>
      <c r="O68" s="44"/>
      <c r="P68" s="44"/>
      <c r="Q68" s="44"/>
    </row>
    <row r="69" spans="5:17" x14ac:dyDescent="0.25">
      <c r="E69" s="7" t="s">
        <v>205</v>
      </c>
      <c r="J69" s="44"/>
      <c r="K69" s="44"/>
      <c r="L69" s="44"/>
      <c r="M69" s="44"/>
      <c r="N69" s="44"/>
      <c r="O69" s="44"/>
      <c r="P69" s="44"/>
      <c r="Q69" s="44"/>
    </row>
    <row r="70" spans="5:17" x14ac:dyDescent="0.25">
      <c r="E70" s="7" t="s">
        <v>206</v>
      </c>
      <c r="J70" s="44"/>
      <c r="K70" s="44"/>
      <c r="L70" s="44"/>
      <c r="M70" s="44"/>
      <c r="N70" s="44"/>
      <c r="O70" s="44"/>
      <c r="P70" s="44"/>
      <c r="Q70" s="44"/>
    </row>
    <row r="71" spans="5:17" x14ac:dyDescent="0.25">
      <c r="E71" s="7" t="s">
        <v>207</v>
      </c>
      <c r="J71" s="44"/>
      <c r="K71" s="44"/>
      <c r="L71" s="44"/>
      <c r="M71" s="44"/>
      <c r="N71" s="44"/>
      <c r="O71" s="44"/>
      <c r="P71" s="44"/>
      <c r="Q71" s="44"/>
    </row>
    <row r="72" spans="5:17" x14ac:dyDescent="0.25">
      <c r="E72" s="7" t="s">
        <v>208</v>
      </c>
      <c r="J72" s="44"/>
      <c r="K72" s="44"/>
      <c r="L72" s="44"/>
      <c r="M72" s="44"/>
      <c r="N72" s="44"/>
      <c r="O72" s="44"/>
      <c r="P72" s="44"/>
      <c r="Q72" s="44"/>
    </row>
    <row r="73" spans="5:17" x14ac:dyDescent="0.25">
      <c r="E73" s="7" t="s">
        <v>209</v>
      </c>
      <c r="J73" s="44"/>
      <c r="K73" s="44"/>
      <c r="L73" s="44"/>
      <c r="M73" s="44"/>
      <c r="N73" s="44"/>
      <c r="O73" s="44"/>
      <c r="P73" s="44"/>
      <c r="Q73" s="44"/>
    </row>
    <row r="74" spans="5:17" x14ac:dyDescent="0.25">
      <c r="E74" s="7" t="s">
        <v>210</v>
      </c>
      <c r="J74" s="44"/>
      <c r="K74" s="44"/>
      <c r="L74" s="44"/>
      <c r="M74" s="44"/>
      <c r="N74" s="44"/>
      <c r="O74" s="44"/>
      <c r="P74" s="44"/>
      <c r="Q74" s="44"/>
    </row>
    <row r="75" spans="5:17" x14ac:dyDescent="0.25">
      <c r="E75" s="7" t="s">
        <v>211</v>
      </c>
      <c r="J75" s="44"/>
      <c r="K75" s="44"/>
      <c r="L75" s="44"/>
      <c r="M75" s="44"/>
      <c r="N75" s="44"/>
      <c r="O75" s="44"/>
      <c r="P75" s="44"/>
      <c r="Q75" s="44"/>
    </row>
    <row r="76" spans="5:17" x14ac:dyDescent="0.25">
      <c r="E76" s="7" t="s">
        <v>212</v>
      </c>
      <c r="J76" s="44"/>
      <c r="K76" s="44"/>
      <c r="L76" s="44"/>
      <c r="M76" s="44"/>
      <c r="N76" s="44"/>
      <c r="O76" s="44"/>
      <c r="P76" s="44"/>
      <c r="Q76" s="44"/>
    </row>
    <row r="77" spans="5:17" x14ac:dyDescent="0.25">
      <c r="E77" s="7" t="s">
        <v>213</v>
      </c>
      <c r="J77" s="44"/>
      <c r="K77" s="44"/>
      <c r="L77" s="44"/>
      <c r="M77" s="44"/>
      <c r="N77" s="44"/>
      <c r="O77" s="44"/>
      <c r="P77" s="44"/>
      <c r="Q77" s="44"/>
    </row>
    <row r="78" spans="5:17" x14ac:dyDescent="0.25">
      <c r="E78" s="7" t="s">
        <v>214</v>
      </c>
      <c r="J78" s="44"/>
      <c r="K78" s="44"/>
      <c r="L78" s="44"/>
      <c r="M78" s="44"/>
      <c r="N78" s="44"/>
      <c r="O78" s="44"/>
      <c r="P78" s="44"/>
      <c r="Q78" s="44"/>
    </row>
    <row r="79" spans="5:17" x14ac:dyDescent="0.25">
      <c r="E79" s="7" t="s">
        <v>215</v>
      </c>
      <c r="J79" s="44"/>
      <c r="K79" s="44"/>
      <c r="L79" s="44"/>
      <c r="M79" s="44"/>
      <c r="N79" s="44"/>
      <c r="O79" s="44"/>
      <c r="P79" s="44"/>
      <c r="Q79" s="44"/>
    </row>
    <row r="80" spans="5:17" x14ac:dyDescent="0.25">
      <c r="E80" s="7" t="s">
        <v>216</v>
      </c>
      <c r="J80" s="44"/>
      <c r="K80" s="44"/>
      <c r="L80" s="44"/>
      <c r="M80" s="44"/>
      <c r="N80" s="44"/>
      <c r="O80" s="44"/>
      <c r="P80" s="44"/>
      <c r="Q80" s="44"/>
    </row>
    <row r="81" spans="5:17" x14ac:dyDescent="0.25">
      <c r="E81" s="7" t="s">
        <v>217</v>
      </c>
      <c r="J81" s="44"/>
      <c r="K81" s="44"/>
      <c r="L81" s="44"/>
      <c r="M81" s="44"/>
      <c r="N81" s="44"/>
      <c r="O81" s="44"/>
      <c r="P81" s="44"/>
      <c r="Q81" s="44"/>
    </row>
    <row r="82" spans="5:17" x14ac:dyDescent="0.25">
      <c r="E82" s="7" t="s">
        <v>218</v>
      </c>
      <c r="J82" s="44"/>
      <c r="K82" s="44"/>
      <c r="L82" s="44"/>
      <c r="M82" s="44"/>
      <c r="N82" s="44"/>
      <c r="O82" s="44"/>
      <c r="P82" s="44"/>
      <c r="Q82" s="44"/>
    </row>
    <row r="83" spans="5:17" x14ac:dyDescent="0.25">
      <c r="E83" s="7" t="s">
        <v>219</v>
      </c>
      <c r="J83" s="44"/>
      <c r="K83" s="44"/>
      <c r="L83" s="44"/>
      <c r="M83" s="44"/>
      <c r="N83" s="44"/>
      <c r="O83" s="44"/>
      <c r="P83" s="44"/>
      <c r="Q83" s="44"/>
    </row>
    <row r="84" spans="5:17" x14ac:dyDescent="0.25">
      <c r="E84" s="7" t="s">
        <v>220</v>
      </c>
      <c r="J84" s="44"/>
      <c r="K84" s="44"/>
      <c r="L84" s="44"/>
      <c r="M84" s="44"/>
      <c r="N84" s="44"/>
      <c r="O84" s="44"/>
      <c r="P84" s="44"/>
      <c r="Q84" s="44"/>
    </row>
    <row r="85" spans="5:17" x14ac:dyDescent="0.25">
      <c r="E85" s="7" t="s">
        <v>221</v>
      </c>
      <c r="J85" s="44"/>
      <c r="K85" s="44"/>
      <c r="L85" s="44"/>
      <c r="M85" s="44"/>
      <c r="N85" s="44"/>
      <c r="O85" s="44"/>
      <c r="P85" s="44"/>
      <c r="Q85" s="44"/>
    </row>
    <row r="86" spans="5:17" x14ac:dyDescent="0.25">
      <c r="E86" s="7" t="s">
        <v>222</v>
      </c>
      <c r="J86" s="44"/>
      <c r="K86" s="44"/>
      <c r="L86" s="44"/>
      <c r="M86" s="44"/>
      <c r="N86" s="44"/>
      <c r="O86" s="44"/>
      <c r="P86" s="44"/>
      <c r="Q86" s="44"/>
    </row>
    <row r="87" spans="5:17" x14ac:dyDescent="0.25">
      <c r="E87" s="7" t="s">
        <v>223</v>
      </c>
      <c r="J87" s="44"/>
      <c r="K87" s="44"/>
      <c r="L87" s="44"/>
      <c r="M87" s="44"/>
      <c r="N87" s="44"/>
      <c r="O87" s="44"/>
      <c r="P87" s="44"/>
      <c r="Q87" s="44"/>
    </row>
    <row r="88" spans="5:17" x14ac:dyDescent="0.25">
      <c r="E88" s="7" t="s">
        <v>224</v>
      </c>
      <c r="J88" s="44"/>
      <c r="K88" s="44"/>
      <c r="L88" s="44"/>
      <c r="M88" s="44"/>
      <c r="N88" s="44"/>
      <c r="O88" s="44"/>
      <c r="P88" s="44"/>
      <c r="Q88" s="44"/>
    </row>
    <row r="89" spans="5:17" x14ac:dyDescent="0.25">
      <c r="E89" s="7" t="s">
        <v>232</v>
      </c>
      <c r="J89" s="44"/>
      <c r="K89" s="44"/>
      <c r="L89" s="44"/>
      <c r="M89" s="44"/>
      <c r="N89" s="44"/>
      <c r="O89" s="44"/>
      <c r="P89" s="44"/>
      <c r="Q89" s="44"/>
    </row>
    <row r="90" spans="5:17" x14ac:dyDescent="0.25">
      <c r="E90" s="7" t="s">
        <v>233</v>
      </c>
      <c r="J90" s="44"/>
      <c r="K90" s="44"/>
      <c r="L90" s="44"/>
      <c r="M90" s="44"/>
      <c r="N90" s="44"/>
      <c r="O90" s="44"/>
      <c r="P90" s="44"/>
      <c r="Q90" s="44"/>
    </row>
    <row r="91" spans="5:17" x14ac:dyDescent="0.25">
      <c r="E91" s="7" t="s">
        <v>234</v>
      </c>
      <c r="J91" s="44"/>
      <c r="K91" s="44"/>
      <c r="L91" s="44"/>
      <c r="M91" s="44"/>
      <c r="N91" s="44"/>
      <c r="O91" s="44"/>
      <c r="P91" s="44"/>
      <c r="Q91" s="44"/>
    </row>
    <row r="92" spans="5:17" x14ac:dyDescent="0.25">
      <c r="E92" s="7" t="s">
        <v>235</v>
      </c>
      <c r="J92" s="44"/>
      <c r="K92" s="44"/>
      <c r="L92" s="44"/>
      <c r="M92" s="44"/>
      <c r="N92" s="44"/>
      <c r="O92" s="44"/>
      <c r="P92" s="44"/>
      <c r="Q92" s="44"/>
    </row>
    <row r="93" spans="5:17" x14ac:dyDescent="0.25">
      <c r="E93" s="7" t="s">
        <v>236</v>
      </c>
      <c r="J93" s="44"/>
      <c r="K93" s="44"/>
      <c r="L93" s="44"/>
      <c r="M93" s="44"/>
      <c r="N93" s="44"/>
      <c r="O93" s="44"/>
      <c r="P93" s="44"/>
      <c r="Q93" s="44"/>
    </row>
    <row r="94" spans="5:17" x14ac:dyDescent="0.25">
      <c r="E94" s="7" t="s">
        <v>237</v>
      </c>
      <c r="J94" s="44"/>
      <c r="K94" s="44"/>
      <c r="L94" s="44"/>
      <c r="M94" s="44"/>
      <c r="N94" s="44"/>
      <c r="O94" s="44"/>
      <c r="P94" s="44"/>
      <c r="Q94" s="44"/>
    </row>
    <row r="95" spans="5:17" x14ac:dyDescent="0.25">
      <c r="E95" s="7" t="s">
        <v>238</v>
      </c>
      <c r="J95" s="44"/>
      <c r="K95" s="44"/>
      <c r="L95" s="44"/>
      <c r="M95" s="44"/>
      <c r="N95" s="44"/>
      <c r="O95" s="44"/>
      <c r="P95" s="44"/>
      <c r="Q95" s="44"/>
    </row>
    <row r="96" spans="5:17" x14ac:dyDescent="0.25">
      <c r="E96" s="7" t="s">
        <v>239</v>
      </c>
      <c r="J96" s="44"/>
      <c r="K96" s="44"/>
      <c r="L96" s="44"/>
      <c r="M96" s="44"/>
      <c r="N96" s="44"/>
      <c r="O96" s="44"/>
      <c r="P96" s="44"/>
      <c r="Q96" s="44"/>
    </row>
    <row r="97" spans="5:18" x14ac:dyDescent="0.25">
      <c r="E97" s="7" t="s">
        <v>240</v>
      </c>
      <c r="J97" s="44"/>
      <c r="K97" s="44"/>
      <c r="L97" s="44"/>
      <c r="M97" s="44"/>
      <c r="N97" s="44"/>
      <c r="O97" s="44"/>
      <c r="P97" s="44"/>
      <c r="Q97" s="44"/>
    </row>
    <row r="98" spans="5:18" x14ac:dyDescent="0.25">
      <c r="E98" s="7" t="s">
        <v>241</v>
      </c>
      <c r="J98" s="44"/>
      <c r="K98" s="44"/>
      <c r="L98" s="44"/>
      <c r="M98" s="44"/>
      <c r="N98" s="44"/>
      <c r="O98" s="44"/>
      <c r="P98" s="44"/>
      <c r="Q98" s="44"/>
    </row>
    <row r="99" spans="5:18" x14ac:dyDescent="0.25">
      <c r="E99" s="7" t="s">
        <v>242</v>
      </c>
      <c r="J99" s="44"/>
      <c r="K99" s="44"/>
      <c r="L99" s="44"/>
      <c r="M99" s="44"/>
      <c r="N99" s="44"/>
      <c r="O99" s="44"/>
      <c r="P99" s="44"/>
      <c r="Q99" s="44"/>
    </row>
    <row r="100" spans="5:18" x14ac:dyDescent="0.25">
      <c r="E100" s="7" t="s">
        <v>243</v>
      </c>
      <c r="J100" s="44"/>
      <c r="K100" s="44"/>
      <c r="L100" s="44"/>
      <c r="M100" s="44"/>
      <c r="N100" s="44"/>
      <c r="O100" s="44"/>
      <c r="P100" s="44"/>
      <c r="Q100" s="44"/>
    </row>
    <row r="101" spans="5:18" x14ac:dyDescent="0.25">
      <c r="E101" s="7" t="s">
        <v>244</v>
      </c>
      <c r="J101" s="44"/>
      <c r="K101" s="44"/>
      <c r="L101" s="44"/>
      <c r="M101" s="44"/>
      <c r="N101" s="44"/>
      <c r="O101" s="44"/>
      <c r="P101" s="44"/>
      <c r="Q101" s="44"/>
    </row>
    <row r="102" spans="5:18" x14ac:dyDescent="0.25">
      <c r="E102" s="7" t="s">
        <v>245</v>
      </c>
      <c r="J102" s="44"/>
      <c r="K102" s="44"/>
      <c r="L102" s="44"/>
      <c r="M102" s="44"/>
      <c r="N102" s="44"/>
      <c r="O102" s="44"/>
      <c r="P102" s="44"/>
      <c r="Q102" s="44"/>
    </row>
    <row r="103" spans="5:18" x14ac:dyDescent="0.25">
      <c r="E103" s="7" t="s">
        <v>246</v>
      </c>
      <c r="J103" s="44"/>
      <c r="K103" s="44"/>
      <c r="L103" s="44"/>
      <c r="M103" s="44"/>
      <c r="N103" s="44"/>
      <c r="O103" s="44"/>
      <c r="P103" s="44"/>
      <c r="Q103" s="44"/>
    </row>
    <row r="104" spans="5:18" x14ac:dyDescent="0.25">
      <c r="E104" s="7" t="s">
        <v>247</v>
      </c>
      <c r="J104" s="44"/>
      <c r="K104" s="44"/>
      <c r="L104" s="44"/>
      <c r="M104" s="44"/>
      <c r="N104" s="44"/>
      <c r="O104" s="44"/>
      <c r="P104" s="44"/>
      <c r="Q104" s="44"/>
    </row>
    <row r="105" spans="5:18" x14ac:dyDescent="0.25">
      <c r="E105" s="7" t="s">
        <v>248</v>
      </c>
      <c r="J105" s="44"/>
      <c r="K105" s="44"/>
      <c r="L105" s="44"/>
      <c r="M105" s="44"/>
      <c r="N105" s="44"/>
      <c r="O105" s="44"/>
      <c r="P105" s="44"/>
      <c r="Q105" s="44"/>
    </row>
    <row r="106" spans="5:18" x14ac:dyDescent="0.25">
      <c r="E106" s="7" t="s">
        <v>249</v>
      </c>
      <c r="J106" s="44"/>
      <c r="K106" s="44"/>
      <c r="L106" s="44"/>
      <c r="M106" s="44"/>
      <c r="N106" s="44"/>
      <c r="O106" s="44"/>
      <c r="P106" s="44"/>
      <c r="Q106" s="44"/>
    </row>
    <row r="107" spans="5:18" x14ac:dyDescent="0.25">
      <c r="E107" s="7" t="s">
        <v>250</v>
      </c>
      <c r="J107" s="44"/>
      <c r="K107" s="44"/>
      <c r="L107" s="44"/>
      <c r="M107" s="44"/>
      <c r="N107" s="44"/>
      <c r="O107" s="44"/>
      <c r="P107" s="44"/>
      <c r="Q107" s="44"/>
    </row>
    <row r="108" spans="5:18" x14ac:dyDescent="0.25">
      <c r="E108" s="7" t="s">
        <v>251</v>
      </c>
      <c r="J108" s="44"/>
      <c r="K108" s="44"/>
      <c r="L108" s="44"/>
      <c r="M108" s="44"/>
      <c r="N108" s="44"/>
      <c r="O108" s="44"/>
      <c r="P108" s="44"/>
      <c r="Q108" s="44"/>
    </row>
    <row r="109" spans="5:18" x14ac:dyDescent="0.25">
      <c r="E109" s="7" t="s">
        <v>252</v>
      </c>
      <c r="J109" s="44"/>
      <c r="K109" s="44"/>
      <c r="L109" s="44"/>
      <c r="M109" s="44"/>
      <c r="N109" s="44"/>
      <c r="O109" s="44"/>
      <c r="P109" s="44"/>
      <c r="Q109" s="44"/>
      <c r="R109" s="44"/>
    </row>
    <row r="110" spans="5:18" x14ac:dyDescent="0.25">
      <c r="E110" s="7" t="s">
        <v>253</v>
      </c>
      <c r="J110" s="44"/>
      <c r="K110" s="44"/>
      <c r="L110" s="44"/>
      <c r="M110" s="44"/>
      <c r="N110" s="44"/>
      <c r="O110" s="44"/>
      <c r="P110" s="44"/>
      <c r="Q110" s="44"/>
    </row>
    <row r="111" spans="5:18" x14ac:dyDescent="0.25">
      <c r="E111" s="7" t="s">
        <v>254</v>
      </c>
      <c r="J111" s="44"/>
      <c r="K111" s="44"/>
      <c r="L111" s="44"/>
      <c r="M111" s="44"/>
      <c r="N111" s="44"/>
      <c r="O111" s="44"/>
      <c r="P111" s="44"/>
      <c r="Q111" s="44"/>
    </row>
    <row r="112" spans="5:18" x14ac:dyDescent="0.25">
      <c r="E112" s="7" t="s">
        <v>259</v>
      </c>
      <c r="J112" s="44"/>
      <c r="K112" s="44"/>
      <c r="L112" s="44"/>
      <c r="M112" s="44"/>
      <c r="N112" s="44"/>
      <c r="O112" s="44"/>
      <c r="P112" s="44"/>
      <c r="Q112" s="44"/>
    </row>
    <row r="113" spans="5:17" x14ac:dyDescent="0.25">
      <c r="E113" s="7" t="s">
        <v>260</v>
      </c>
      <c r="J113" s="44"/>
      <c r="K113" s="44"/>
      <c r="L113" s="44"/>
      <c r="M113" s="44"/>
      <c r="N113" s="44"/>
      <c r="O113" s="44"/>
      <c r="P113" s="44"/>
      <c r="Q113" s="44"/>
    </row>
    <row r="114" spans="5:17" x14ac:dyDescent="0.25">
      <c r="E114" s="7" t="s">
        <v>261</v>
      </c>
      <c r="J114" s="44"/>
      <c r="K114" s="44"/>
      <c r="L114" s="44"/>
      <c r="M114" s="44"/>
      <c r="N114" s="44"/>
      <c r="O114" s="44"/>
      <c r="P114" s="44"/>
      <c r="Q114" s="44"/>
    </row>
    <row r="115" spans="5:17" x14ac:dyDescent="0.25">
      <c r="E115" s="7" t="s">
        <v>262</v>
      </c>
      <c r="J115" s="44"/>
      <c r="K115" s="44"/>
      <c r="L115" s="44"/>
      <c r="M115" s="44"/>
      <c r="N115" s="44"/>
      <c r="O115" s="44"/>
      <c r="P115" s="44"/>
      <c r="Q115" s="44"/>
    </row>
    <row r="116" spans="5:17" x14ac:dyDescent="0.25">
      <c r="E116" s="7" t="s">
        <v>263</v>
      </c>
      <c r="J116" s="44"/>
      <c r="K116" s="44"/>
      <c r="L116" s="44"/>
      <c r="M116" s="44"/>
      <c r="N116" s="44"/>
      <c r="O116" s="44"/>
      <c r="P116" s="44"/>
      <c r="Q116" s="44"/>
    </row>
    <row r="117" spans="5:17" x14ac:dyDescent="0.25">
      <c r="E117" s="7" t="s">
        <v>264</v>
      </c>
      <c r="J117" s="44"/>
      <c r="K117" s="44"/>
      <c r="L117" s="44"/>
      <c r="M117" s="44"/>
      <c r="N117" s="44"/>
      <c r="O117" s="44"/>
      <c r="P117" s="44"/>
      <c r="Q117" s="44"/>
    </row>
    <row r="118" spans="5:17" x14ac:dyDescent="0.25">
      <c r="E118" s="7" t="s">
        <v>265</v>
      </c>
      <c r="J118" s="44"/>
      <c r="K118" s="44"/>
      <c r="L118" s="44"/>
      <c r="M118" s="44"/>
      <c r="N118" s="44"/>
      <c r="O118" s="44"/>
      <c r="P118" s="44"/>
      <c r="Q118" s="44"/>
    </row>
    <row r="119" spans="5:17" x14ac:dyDescent="0.25">
      <c r="E119" s="7" t="s">
        <v>266</v>
      </c>
      <c r="J119" s="44"/>
      <c r="K119" s="44"/>
      <c r="L119" s="44"/>
      <c r="M119" s="44"/>
      <c r="N119" s="44"/>
      <c r="O119" s="44"/>
      <c r="P119" s="44"/>
      <c r="Q119" s="44"/>
    </row>
    <row r="120" spans="5:17" x14ac:dyDescent="0.25">
      <c r="E120" s="7" t="s">
        <v>267</v>
      </c>
      <c r="J120" s="44"/>
      <c r="K120" s="44"/>
      <c r="L120" s="44"/>
      <c r="M120" s="44"/>
      <c r="N120" s="44"/>
      <c r="O120" s="44"/>
      <c r="P120" s="44"/>
      <c r="Q120" s="44"/>
    </row>
    <row r="121" spans="5:17" x14ac:dyDescent="0.25">
      <c r="E121" s="7" t="s">
        <v>268</v>
      </c>
      <c r="J121" s="44"/>
      <c r="K121" s="44"/>
      <c r="L121" s="44"/>
      <c r="M121" s="44"/>
      <c r="N121" s="44"/>
      <c r="O121" s="44"/>
      <c r="P121" s="44"/>
      <c r="Q121" s="44"/>
    </row>
    <row r="122" spans="5:17" x14ac:dyDescent="0.25">
      <c r="E122" s="7" t="s">
        <v>269</v>
      </c>
      <c r="J122" s="44"/>
      <c r="K122" s="44"/>
      <c r="L122" s="44"/>
      <c r="M122" s="44"/>
      <c r="N122" s="44"/>
      <c r="O122" s="44"/>
      <c r="P122" s="44"/>
      <c r="Q122" s="44"/>
    </row>
    <row r="123" spans="5:17" x14ac:dyDescent="0.25">
      <c r="E123" s="7" t="s">
        <v>270</v>
      </c>
      <c r="J123" s="44"/>
      <c r="K123" s="44"/>
      <c r="L123" s="44"/>
      <c r="M123" s="44"/>
      <c r="N123" s="44"/>
      <c r="O123" s="44"/>
      <c r="P123" s="44"/>
      <c r="Q123" s="44"/>
    </row>
    <row r="124" spans="5:17" x14ac:dyDescent="0.25">
      <c r="E124" s="7" t="s">
        <v>271</v>
      </c>
      <c r="J124" s="44"/>
      <c r="K124" s="44"/>
      <c r="L124" s="44"/>
      <c r="M124" s="44"/>
      <c r="N124" s="44"/>
      <c r="O124" s="44"/>
      <c r="P124" s="44"/>
      <c r="Q124" s="44"/>
    </row>
    <row r="125" spans="5:17" x14ac:dyDescent="0.25">
      <c r="E125" s="7" t="s">
        <v>272</v>
      </c>
      <c r="J125" s="44"/>
      <c r="K125" s="44"/>
      <c r="L125" s="44"/>
      <c r="M125" s="44"/>
      <c r="N125" s="44"/>
      <c r="O125" s="44"/>
      <c r="P125" s="44"/>
      <c r="Q125" s="44"/>
    </row>
    <row r="126" spans="5:17" x14ac:dyDescent="0.25">
      <c r="E126" s="7" t="s">
        <v>273</v>
      </c>
      <c r="J126" s="44"/>
      <c r="K126" s="44"/>
      <c r="L126" s="44"/>
      <c r="M126" s="44"/>
      <c r="N126" s="44"/>
      <c r="O126" s="44"/>
      <c r="P126" s="44"/>
      <c r="Q126" s="44"/>
    </row>
  </sheetData>
  <dataConsolidate/>
  <phoneticPr fontId="15" type="noConversion"/>
  <dataValidations count="1">
    <dataValidation type="list" showInputMessage="1" showErrorMessage="1" sqref="C11" xr:uid="{00000000-0002-0000-0300-000000000000}">
      <formula1>"velocity-magnitude, pressure"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points_coordinate">
                <anchor moveWithCells="1" sizeWithCells="1">
                  <from>
                    <xdr:col>1</xdr:col>
                    <xdr:colOff>7620</xdr:colOff>
                    <xdr:row>4</xdr:row>
                    <xdr:rowOff>7620</xdr:rowOff>
                  </from>
                  <to>
                    <xdr:col>2</xdr:col>
                    <xdr:colOff>1181100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utput2Fluent">
                <anchor moveWithCells="1" sizeWithCells="1">
                  <from>
                    <xdr:col>1</xdr:col>
                    <xdr:colOff>7620</xdr:colOff>
                    <xdr:row>11</xdr:row>
                    <xdr:rowOff>7620</xdr:rowOff>
                  </from>
                  <to>
                    <xdr:col>3</xdr:col>
                    <xdr:colOff>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_fluent_result">
                <anchor moveWithCells="1" sizeWithCells="1">
                  <from>
                    <xdr:col>1</xdr:col>
                    <xdr:colOff>7620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Y14"/>
  <sheetViews>
    <sheetView zoomScale="85" zoomScaleNormal="85" workbookViewId="0">
      <selection activeCell="V19" sqref="V19"/>
    </sheetView>
  </sheetViews>
  <sheetFormatPr defaultRowHeight="14.4" x14ac:dyDescent="0.25"/>
  <cols>
    <col min="2" max="2" width="13.88671875" bestFit="1" customWidth="1"/>
  </cols>
  <sheetData>
    <row r="1" spans="1:25" x14ac:dyDescent="0.25">
      <c r="A1" s="53" t="s">
        <v>135</v>
      </c>
      <c r="B1" s="54" t="s">
        <v>136</v>
      </c>
      <c r="C1" s="52" t="s">
        <v>118</v>
      </c>
      <c r="D1" s="52" t="s">
        <v>119</v>
      </c>
      <c r="E1" s="52" t="s">
        <v>120</v>
      </c>
      <c r="F1" s="52" t="s">
        <v>121</v>
      </c>
      <c r="G1" s="52" t="s">
        <v>122</v>
      </c>
      <c r="H1" s="52" t="s">
        <v>123</v>
      </c>
      <c r="I1" s="52" t="s">
        <v>124</v>
      </c>
      <c r="J1" s="52" t="s">
        <v>125</v>
      </c>
      <c r="K1" s="52" t="s">
        <v>126</v>
      </c>
      <c r="L1" s="52" t="s">
        <v>127</v>
      </c>
      <c r="M1" s="52" t="s">
        <v>128</v>
      </c>
      <c r="N1" s="52" t="s">
        <v>129</v>
      </c>
      <c r="O1" s="52" t="s">
        <v>130</v>
      </c>
      <c r="P1" s="52" t="s">
        <v>131</v>
      </c>
      <c r="Q1" s="52" t="s">
        <v>132</v>
      </c>
      <c r="R1" s="52" t="s">
        <v>133</v>
      </c>
      <c r="S1" s="52" t="s">
        <v>134</v>
      </c>
      <c r="T1" t="s">
        <v>145</v>
      </c>
      <c r="U1" s="52" t="s">
        <v>140</v>
      </c>
      <c r="V1" s="52" t="s">
        <v>141</v>
      </c>
      <c r="W1" s="52" t="s">
        <v>142</v>
      </c>
      <c r="X1" s="52" t="s">
        <v>143</v>
      </c>
      <c r="Y1" s="52" t="s">
        <v>144</v>
      </c>
    </row>
    <row r="2" spans="1:25" x14ac:dyDescent="0.25">
      <c r="A2" s="49" t="s">
        <v>2</v>
      </c>
      <c r="B2" s="49" t="s">
        <v>112</v>
      </c>
      <c r="C2" s="49" t="s">
        <v>111</v>
      </c>
      <c r="D2" s="49" t="s">
        <v>12</v>
      </c>
      <c r="E2" s="49" t="s">
        <v>13</v>
      </c>
      <c r="F2" s="49" t="s">
        <v>14</v>
      </c>
      <c r="G2" s="49" t="s">
        <v>15</v>
      </c>
      <c r="H2" s="49" t="s">
        <v>16</v>
      </c>
      <c r="I2" s="49" t="s">
        <v>17</v>
      </c>
      <c r="J2" s="49" t="s">
        <v>20</v>
      </c>
      <c r="K2" s="49" t="s">
        <v>21</v>
      </c>
      <c r="L2" s="49"/>
      <c r="M2" s="49"/>
      <c r="N2" s="49"/>
      <c r="O2" s="49"/>
      <c r="P2" s="49"/>
      <c r="Q2" s="49"/>
      <c r="R2" s="49"/>
      <c r="S2" s="49"/>
    </row>
    <row r="3" spans="1:25" x14ac:dyDescent="0.25">
      <c r="A3" s="50" t="s">
        <v>98</v>
      </c>
      <c r="B3" s="15" t="s">
        <v>113</v>
      </c>
      <c r="C3" s="15">
        <v>1</v>
      </c>
      <c r="D3" s="47">
        <v>19.8307422</v>
      </c>
      <c r="E3" s="47">
        <v>8.6751738819999993</v>
      </c>
      <c r="F3" s="47">
        <v>3.9610646530000002</v>
      </c>
      <c r="G3" s="47">
        <v>12.201451479999999</v>
      </c>
      <c r="H3" s="47">
        <v>-3.938292723</v>
      </c>
      <c r="I3" s="47">
        <v>0.971464208</v>
      </c>
      <c r="J3" s="47">
        <v>-5.6259864610000001</v>
      </c>
      <c r="K3" s="47">
        <v>-4.5032949770000004</v>
      </c>
      <c r="L3" s="47"/>
      <c r="M3" s="47"/>
      <c r="N3" s="47"/>
      <c r="O3" s="47"/>
      <c r="P3" s="47"/>
      <c r="Q3" s="47"/>
      <c r="R3" s="47"/>
      <c r="S3" s="47"/>
      <c r="T3" t="s">
        <v>147</v>
      </c>
    </row>
    <row r="4" spans="1:25" x14ac:dyDescent="0.25">
      <c r="A4" s="50" t="s">
        <v>99</v>
      </c>
      <c r="B4" s="15"/>
      <c r="C4" s="15">
        <v>2</v>
      </c>
      <c r="D4" s="47">
        <v>36.769590989999998</v>
      </c>
      <c r="E4" s="47">
        <v>29.66372853</v>
      </c>
      <c r="F4" s="47">
        <v>21.672261800000001</v>
      </c>
      <c r="G4" s="47">
        <v>15.090828520000001</v>
      </c>
      <c r="H4" s="47">
        <v>-4.4985642940000004</v>
      </c>
      <c r="I4" s="47">
        <v>0.15293260249999999</v>
      </c>
      <c r="J4" s="47">
        <v>-6.4218681269999998</v>
      </c>
      <c r="K4" s="47">
        <v>-8.8354022499999996</v>
      </c>
      <c r="L4" s="47"/>
      <c r="M4" s="47"/>
      <c r="N4" s="47"/>
      <c r="O4" s="47"/>
      <c r="P4" s="47"/>
      <c r="Q4" s="47"/>
      <c r="R4" s="47"/>
      <c r="S4" s="47"/>
    </row>
    <row r="5" spans="1:25" x14ac:dyDescent="0.25">
      <c r="A5" s="50" t="s">
        <v>100</v>
      </c>
      <c r="B5" s="15" t="s">
        <v>114</v>
      </c>
      <c r="C5" s="15">
        <v>1</v>
      </c>
      <c r="D5" s="47">
        <v>19.627583569999999</v>
      </c>
      <c r="E5" s="47">
        <v>8.3058168210000005</v>
      </c>
      <c r="F5" s="47">
        <v>3.089855</v>
      </c>
      <c r="G5" s="47">
        <v>11.811337480000001</v>
      </c>
      <c r="H5" s="47">
        <v>-4.1251480249999997</v>
      </c>
      <c r="I5" s="47">
        <v>0.75554846180000002</v>
      </c>
      <c r="J5" s="47">
        <v>-6.7802224960000004</v>
      </c>
      <c r="K5" s="47">
        <v>-10.88208691</v>
      </c>
      <c r="L5" s="47"/>
      <c r="M5" s="47"/>
      <c r="N5" s="47"/>
      <c r="O5" s="47"/>
      <c r="P5" s="47"/>
      <c r="Q5" s="47"/>
      <c r="R5" s="47"/>
      <c r="S5" s="47"/>
      <c r="T5" t="s">
        <v>147</v>
      </c>
    </row>
    <row r="6" spans="1:25" x14ac:dyDescent="0.25">
      <c r="A6" s="50" t="s">
        <v>101</v>
      </c>
      <c r="B6" s="15"/>
      <c r="C6" s="15">
        <v>2</v>
      </c>
      <c r="D6" s="47">
        <v>36.480247929999997</v>
      </c>
      <c r="E6" s="47">
        <v>29.479446039999999</v>
      </c>
      <c r="F6" s="47">
        <v>21.646633040000001</v>
      </c>
      <c r="G6" s="47">
        <v>10.98196115</v>
      </c>
      <c r="H6" s="47">
        <v>-4.6335236010000003</v>
      </c>
      <c r="I6" s="47">
        <v>0.15834643770000001</v>
      </c>
      <c r="J6" s="47">
        <v>-6.633721092</v>
      </c>
      <c r="K6" s="47">
        <v>-9.0148161529999999</v>
      </c>
      <c r="L6" s="47"/>
      <c r="M6" s="47"/>
      <c r="N6" s="47"/>
      <c r="O6" s="47"/>
      <c r="P6" s="47"/>
      <c r="Q6" s="47"/>
      <c r="R6" s="47"/>
      <c r="S6" s="47"/>
    </row>
    <row r="7" spans="1:25" x14ac:dyDescent="0.25">
      <c r="A7" s="50" t="s">
        <v>102</v>
      </c>
      <c r="B7" s="15" t="s">
        <v>115</v>
      </c>
      <c r="C7" s="15">
        <v>1</v>
      </c>
      <c r="D7" s="47">
        <v>19.73575237</v>
      </c>
      <c r="E7" s="47">
        <v>8.9573678309999991</v>
      </c>
      <c r="F7" s="47">
        <v>3.9577142689999998</v>
      </c>
      <c r="G7" s="47">
        <v>12.320418</v>
      </c>
      <c r="H7" s="47">
        <v>-3.817664454</v>
      </c>
      <c r="I7" s="47">
        <v>1.133916133</v>
      </c>
      <c r="J7" s="47">
        <v>-6.9474925819999998</v>
      </c>
      <c r="K7" s="47">
        <v>-12.264501279999999</v>
      </c>
      <c r="L7" s="47"/>
      <c r="M7" s="47"/>
      <c r="N7" s="47"/>
      <c r="O7" s="47"/>
      <c r="P7" s="47"/>
      <c r="Q7" s="47"/>
      <c r="R7" s="47"/>
      <c r="S7" s="47"/>
      <c r="T7" t="s">
        <v>147</v>
      </c>
      <c r="X7" s="56" t="s">
        <v>138</v>
      </c>
      <c r="Y7" s="55" t="s">
        <v>139</v>
      </c>
    </row>
    <row r="8" spans="1:25" x14ac:dyDescent="0.25">
      <c r="A8" s="50" t="s">
        <v>103</v>
      </c>
      <c r="B8" s="15"/>
      <c r="C8" s="15">
        <v>2</v>
      </c>
      <c r="D8" s="47">
        <v>34.931615909999998</v>
      </c>
      <c r="E8" s="47">
        <v>28.307563829999999</v>
      </c>
      <c r="F8" s="47">
        <v>19.535885270000001</v>
      </c>
      <c r="G8" s="47">
        <v>11.05552988</v>
      </c>
      <c r="H8" s="47">
        <v>-4.6915272750000003</v>
      </c>
      <c r="I8" s="47">
        <v>4.6056315590000001E-2</v>
      </c>
      <c r="J8" s="47">
        <v>-6.1624888650000003</v>
      </c>
      <c r="K8" s="47">
        <v>-8.8153232940000006</v>
      </c>
      <c r="L8" s="47"/>
      <c r="M8" s="47"/>
      <c r="N8" s="47"/>
      <c r="O8" s="47"/>
      <c r="P8" s="47"/>
      <c r="Q8" s="47"/>
      <c r="R8" s="47"/>
      <c r="S8" s="47"/>
    </row>
    <row r="9" spans="1:25" x14ac:dyDescent="0.25">
      <c r="A9" s="50" t="s">
        <v>104</v>
      </c>
      <c r="B9" s="15" t="s">
        <v>137</v>
      </c>
      <c r="C9" s="15">
        <v>1</v>
      </c>
      <c r="D9" s="47">
        <v>20.084115130000001</v>
      </c>
      <c r="E9" s="47">
        <v>8.2152489600000003</v>
      </c>
      <c r="F9" s="47">
        <v>3.2853296909999998</v>
      </c>
      <c r="G9" s="47">
        <v>10.75525584</v>
      </c>
      <c r="H9" s="47">
        <v>-4.4941053679999996</v>
      </c>
      <c r="I9" s="47">
        <v>0.53980552329999998</v>
      </c>
      <c r="J9" s="47">
        <v>-5.6452913560000004</v>
      </c>
      <c r="K9" s="47">
        <v>-4.8080398860000004</v>
      </c>
      <c r="L9" s="47"/>
      <c r="M9" s="47"/>
      <c r="N9" s="47"/>
      <c r="O9" s="47"/>
      <c r="P9" s="47"/>
      <c r="Q9" s="47"/>
      <c r="R9" s="47"/>
      <c r="S9" s="47"/>
      <c r="T9" t="s">
        <v>148</v>
      </c>
    </row>
    <row r="10" spans="1:25" x14ac:dyDescent="0.25">
      <c r="A10" s="50" t="s">
        <v>105</v>
      </c>
      <c r="B10" s="15"/>
      <c r="C10" s="15">
        <v>2</v>
      </c>
      <c r="D10" s="47">
        <v>37.06816929</v>
      </c>
      <c r="E10" s="47">
        <v>30.37408387</v>
      </c>
      <c r="F10" s="47">
        <v>21.923454020000001</v>
      </c>
      <c r="G10" s="47">
        <v>23.968183419999999</v>
      </c>
      <c r="H10" s="47">
        <v>-3.7102008240000002</v>
      </c>
      <c r="I10" s="47">
        <v>0.32336090070000001</v>
      </c>
      <c r="J10" s="47">
        <v>-6.1679316579999997</v>
      </c>
      <c r="K10" s="47">
        <v>-7.7167405210000002</v>
      </c>
      <c r="L10" s="47"/>
      <c r="M10" s="47"/>
      <c r="N10" s="47"/>
      <c r="O10" s="47"/>
      <c r="P10" s="47"/>
      <c r="Q10" s="47"/>
      <c r="R10" s="47"/>
      <c r="S10" s="47"/>
    </row>
    <row r="11" spans="1:25" x14ac:dyDescent="0.25">
      <c r="A11" s="50" t="s">
        <v>106</v>
      </c>
      <c r="B11" s="15" t="s">
        <v>116</v>
      </c>
      <c r="C11" s="15">
        <v>1</v>
      </c>
      <c r="D11" s="47">
        <v>19.99381322</v>
      </c>
      <c r="E11" s="47">
        <v>8.4439108310000002</v>
      </c>
      <c r="F11" s="47">
        <v>2.9987827440000001</v>
      </c>
      <c r="G11" s="47">
        <v>10.87485837</v>
      </c>
      <c r="H11" s="47">
        <v>-4.4375536530000002</v>
      </c>
      <c r="I11" s="47">
        <v>0.49248350070000002</v>
      </c>
      <c r="J11" s="47">
        <v>-6.9997716419999998</v>
      </c>
      <c r="K11" s="47">
        <v>-12.788304569999999</v>
      </c>
      <c r="L11" s="47"/>
      <c r="M11" s="47"/>
      <c r="N11" s="47"/>
      <c r="O11" s="47"/>
      <c r="P11" s="47"/>
      <c r="Q11" s="47"/>
      <c r="R11" s="47"/>
      <c r="S11" s="47"/>
      <c r="T11" t="s">
        <v>148</v>
      </c>
    </row>
    <row r="12" spans="1:25" x14ac:dyDescent="0.25">
      <c r="A12" s="50" t="s">
        <v>107</v>
      </c>
      <c r="B12" s="15"/>
      <c r="C12" s="15">
        <v>2</v>
      </c>
      <c r="D12" s="47">
        <v>37.23628626</v>
      </c>
      <c r="E12" s="47">
        <v>29.643285429999999</v>
      </c>
      <c r="F12" s="47">
        <v>21.152525000000001</v>
      </c>
      <c r="G12" s="47">
        <v>24.16383299</v>
      </c>
      <c r="H12" s="47">
        <v>-5.0542321509999999</v>
      </c>
      <c r="I12" s="47">
        <v>-0.34170193929999998</v>
      </c>
      <c r="J12" s="47">
        <v>-6.2566969649999997</v>
      </c>
      <c r="K12" s="47">
        <v>-8.0592359299999998</v>
      </c>
      <c r="L12" s="47"/>
      <c r="M12" s="47"/>
      <c r="N12" s="47"/>
      <c r="O12" s="47"/>
      <c r="P12" s="47"/>
      <c r="Q12" s="47"/>
      <c r="R12" s="47"/>
      <c r="S12" s="47"/>
    </row>
    <row r="13" spans="1:25" x14ac:dyDescent="0.25">
      <c r="A13" s="50" t="s">
        <v>108</v>
      </c>
      <c r="B13" s="15" t="s">
        <v>117</v>
      </c>
      <c r="C13" s="15">
        <v>1</v>
      </c>
      <c r="D13" s="47">
        <v>20.0795715</v>
      </c>
      <c r="E13" s="47">
        <v>9.1927153199999996</v>
      </c>
      <c r="F13" s="47">
        <v>4.45876407</v>
      </c>
      <c r="G13" s="47">
        <v>11.03102202</v>
      </c>
      <c r="H13" s="47">
        <v>-4.4719996359999996</v>
      </c>
      <c r="I13" s="47">
        <v>0.66011424330000001</v>
      </c>
      <c r="J13" s="47">
        <v>-7.7150890600000004</v>
      </c>
      <c r="K13" s="47">
        <v>-14.59155305</v>
      </c>
      <c r="L13" s="47"/>
      <c r="M13" s="47"/>
      <c r="N13" s="47"/>
      <c r="O13" s="47"/>
      <c r="P13" s="47"/>
      <c r="Q13" s="47"/>
      <c r="R13" s="47"/>
      <c r="S13" s="47"/>
      <c r="T13" t="s">
        <v>148</v>
      </c>
      <c r="X13" s="56" t="s">
        <v>138</v>
      </c>
      <c r="Y13" s="55" t="s">
        <v>139</v>
      </c>
    </row>
    <row r="14" spans="1:25" x14ac:dyDescent="0.25">
      <c r="A14" s="51" t="s">
        <v>109</v>
      </c>
      <c r="B14" s="15"/>
      <c r="C14" s="15">
        <v>2</v>
      </c>
      <c r="D14" s="48">
        <v>35.392430709999999</v>
      </c>
      <c r="E14" s="48">
        <v>27.493921669999999</v>
      </c>
      <c r="F14" s="48">
        <v>19.225314539999999</v>
      </c>
      <c r="G14" s="48">
        <v>24.211160719999999</v>
      </c>
      <c r="H14" s="48">
        <v>-5.717667907</v>
      </c>
      <c r="I14" s="48">
        <v>-0.72506669050000006</v>
      </c>
      <c r="J14" s="48">
        <v>-5.8264636989999996</v>
      </c>
      <c r="K14" s="48">
        <v>-6.9803701839999999</v>
      </c>
      <c r="L14" s="48"/>
      <c r="M14" s="48"/>
      <c r="N14" s="48"/>
      <c r="O14" s="48"/>
      <c r="P14" s="48"/>
      <c r="Q14" s="48"/>
      <c r="R14" s="48"/>
      <c r="S14" s="48"/>
      <c r="X14" s="56" t="s">
        <v>146</v>
      </c>
      <c r="Y14" s="55" t="s">
        <v>139</v>
      </c>
    </row>
  </sheetData>
  <phoneticPr fontId="15" type="noConversion"/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1_Click">
                <anchor moveWithCells="1" sizeWithCells="1">
                  <from>
                    <xdr:col>20</xdr:col>
                    <xdr:colOff>0</xdr:colOff>
                    <xdr:row>1</xdr:row>
                    <xdr:rowOff>175260</xdr:rowOff>
                  </from>
                  <to>
                    <xdr:col>21</xdr:col>
                    <xdr:colOff>594360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tton2_Click">
                <anchor moveWithCells="1" sizeWithCells="1">
                  <from>
                    <xdr:col>20</xdr:col>
                    <xdr:colOff>45720</xdr:colOff>
                    <xdr:row>5</xdr:row>
                    <xdr:rowOff>182880</xdr:rowOff>
                  </from>
                  <to>
                    <xdr:col>22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83820</xdr:colOff>
                    <xdr:row>11</xdr:row>
                    <xdr:rowOff>68580</xdr:rowOff>
                  </from>
                  <to>
                    <xdr:col>21</xdr:col>
                    <xdr:colOff>579120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R17"/>
  <sheetViews>
    <sheetView workbookViewId="0">
      <selection activeCell="J25" sqref="J25"/>
    </sheetView>
  </sheetViews>
  <sheetFormatPr defaultRowHeight="14.4" x14ac:dyDescent="0.25"/>
  <cols>
    <col min="2" max="2" width="16.5546875" customWidth="1"/>
  </cols>
  <sheetData>
    <row r="1" spans="2:18" x14ac:dyDescent="0.25">
      <c r="B1" t="s">
        <v>149</v>
      </c>
    </row>
    <row r="2" spans="2:18" x14ac:dyDescent="0.25">
      <c r="B2" s="49" t="s">
        <v>150</v>
      </c>
      <c r="C2" s="49" t="s">
        <v>12</v>
      </c>
      <c r="D2" s="49" t="s">
        <v>13</v>
      </c>
      <c r="E2" s="49" t="s">
        <v>14</v>
      </c>
      <c r="F2" s="49" t="s">
        <v>15</v>
      </c>
      <c r="G2" s="49" t="s">
        <v>16</v>
      </c>
      <c r="H2" s="49" t="s">
        <v>17</v>
      </c>
      <c r="I2" s="49" t="s">
        <v>20</v>
      </c>
      <c r="J2" s="49" t="s">
        <v>21</v>
      </c>
      <c r="K2" s="49"/>
      <c r="L2" s="49"/>
      <c r="M2" s="49"/>
      <c r="N2" s="49"/>
      <c r="O2" s="49"/>
      <c r="P2" s="49"/>
      <c r="Q2" s="49"/>
      <c r="R2" s="49"/>
    </row>
    <row r="3" spans="2:18" x14ac:dyDescent="0.25">
      <c r="B3" s="47" t="s">
        <v>113</v>
      </c>
      <c r="C3" s="47">
        <v>6.0510554000000001</v>
      </c>
      <c r="D3" s="47">
        <v>6.7532966999999999</v>
      </c>
      <c r="E3" s="47">
        <v>6.2195692999999999</v>
      </c>
      <c r="F3" s="47">
        <v>2.5311406000000001</v>
      </c>
      <c r="G3" s="47">
        <v>1.0806804000000001</v>
      </c>
      <c r="H3" s="47">
        <v>1.3040350999999999</v>
      </c>
      <c r="I3" s="47">
        <v>1.2925816000000001</v>
      </c>
      <c r="J3" s="47">
        <v>2.9086964000000002</v>
      </c>
      <c r="K3" s="47"/>
      <c r="L3" s="47"/>
      <c r="M3" s="47"/>
      <c r="N3" s="47"/>
      <c r="O3" s="47"/>
      <c r="P3" s="47"/>
      <c r="Q3" s="47"/>
      <c r="R3" s="47"/>
    </row>
    <row r="4" spans="2:18" x14ac:dyDescent="0.25">
      <c r="B4" s="47" t="s">
        <v>114</v>
      </c>
      <c r="C4" s="47">
        <v>6.1284139</v>
      </c>
      <c r="D4" s="47">
        <v>6.7791258000000001</v>
      </c>
      <c r="E4" s="47">
        <v>6.3302021999999996</v>
      </c>
      <c r="F4" s="47">
        <v>1.319577</v>
      </c>
      <c r="G4" s="47">
        <v>1.0345472</v>
      </c>
      <c r="H4" s="47">
        <v>1.1359908000000001</v>
      </c>
      <c r="I4" s="47">
        <v>0.56554033999999997</v>
      </c>
      <c r="J4" s="47">
        <v>2.0512549999999998</v>
      </c>
      <c r="K4" s="47"/>
      <c r="L4" s="47"/>
      <c r="M4" s="47"/>
      <c r="N4" s="47"/>
      <c r="O4" s="47"/>
      <c r="P4" s="47"/>
      <c r="Q4" s="47"/>
      <c r="R4" s="47"/>
    </row>
    <row r="5" spans="2:18" x14ac:dyDescent="0.25">
      <c r="B5" s="47" t="s">
        <v>115</v>
      </c>
      <c r="C5" s="47">
        <v>5.7726194</v>
      </c>
      <c r="D5" s="47">
        <v>6.5708288000000001</v>
      </c>
      <c r="E5" s="47">
        <v>5.9630504000000002</v>
      </c>
      <c r="F5" s="47">
        <v>1.6183704000000001</v>
      </c>
      <c r="G5" s="47">
        <v>1.3592202</v>
      </c>
      <c r="H5" s="47">
        <v>1.4703227999999999</v>
      </c>
      <c r="I5" s="47">
        <v>1.3318852999999999</v>
      </c>
      <c r="J5" s="47">
        <v>2.7263386999999999</v>
      </c>
      <c r="K5" s="47"/>
      <c r="L5" s="47"/>
      <c r="M5" s="47"/>
      <c r="N5" s="47"/>
      <c r="O5" s="47"/>
      <c r="P5" s="47"/>
      <c r="Q5" s="47"/>
      <c r="R5" s="47"/>
    </row>
    <row r="6" spans="2:18" x14ac:dyDescent="0.25">
      <c r="B6" s="47" t="s">
        <v>137</v>
      </c>
      <c r="C6" s="47">
        <v>5.3598203</v>
      </c>
      <c r="D6" s="47">
        <v>6.0866201999999996</v>
      </c>
      <c r="E6" s="47">
        <v>5.7701003000000002</v>
      </c>
      <c r="F6" s="47">
        <v>4.8417865999999998</v>
      </c>
      <c r="G6" s="47">
        <v>1.1833004</v>
      </c>
      <c r="H6" s="47">
        <v>0.67368496</v>
      </c>
      <c r="I6" s="47">
        <v>1.0493478999999999</v>
      </c>
      <c r="J6" s="47">
        <v>2.4996209999999999</v>
      </c>
      <c r="K6" s="47"/>
      <c r="L6" s="47"/>
      <c r="M6" s="47"/>
      <c r="N6" s="47"/>
      <c r="O6" s="47"/>
      <c r="P6" s="47"/>
      <c r="Q6" s="47"/>
      <c r="R6" s="47"/>
    </row>
    <row r="7" spans="2:18" x14ac:dyDescent="0.25">
      <c r="B7" s="47" t="s">
        <v>116</v>
      </c>
      <c r="C7" s="47">
        <v>5.4259889000000001</v>
      </c>
      <c r="D7" s="47">
        <v>6.0473815999999996</v>
      </c>
      <c r="E7" s="47">
        <v>5.5852728000000003</v>
      </c>
      <c r="F7" s="47">
        <v>4.8291320999999998</v>
      </c>
      <c r="G7" s="47">
        <v>1.1499577999999999</v>
      </c>
      <c r="H7" s="47">
        <v>1.3336669000000001</v>
      </c>
      <c r="I7" s="47">
        <v>1.1610218999999999</v>
      </c>
      <c r="J7" s="47">
        <v>2.9527629000000002</v>
      </c>
      <c r="K7" s="47"/>
      <c r="L7" s="47"/>
      <c r="M7" s="47"/>
      <c r="N7" s="47"/>
      <c r="O7" s="47"/>
      <c r="P7" s="47"/>
      <c r="Q7" s="47"/>
      <c r="R7" s="47"/>
    </row>
    <row r="8" spans="2:18" x14ac:dyDescent="0.25">
      <c r="B8" s="47" t="s">
        <v>151</v>
      </c>
      <c r="C8" s="47">
        <v>5.2100004000000002</v>
      </c>
      <c r="D8" s="47">
        <v>5.6846002999999996</v>
      </c>
      <c r="E8" s="47">
        <v>5.0374363000000004</v>
      </c>
      <c r="F8" s="47">
        <v>4.7880089000000003</v>
      </c>
      <c r="G8" s="47">
        <v>1.6395187</v>
      </c>
      <c r="H8" s="47">
        <v>1.7107979</v>
      </c>
      <c r="I8" s="47">
        <v>1.8460806000000001</v>
      </c>
      <c r="J8" s="47">
        <v>3.7452051000000002</v>
      </c>
      <c r="K8" s="47"/>
      <c r="L8" s="47"/>
      <c r="M8" s="47"/>
      <c r="N8" s="47"/>
      <c r="O8" s="47"/>
      <c r="P8" s="47"/>
      <c r="Q8" s="47"/>
      <c r="R8" s="47"/>
    </row>
    <row r="11" spans="2:18" x14ac:dyDescent="0.25">
      <c r="C11" s="45">
        <v>6.9000000000000006E-2</v>
      </c>
      <c r="D11" s="45">
        <v>9.8000000000000004E-2</v>
      </c>
      <c r="E11" s="45">
        <v>0.17799999999999999</v>
      </c>
      <c r="F11" s="45">
        <v>0.191</v>
      </c>
      <c r="G11" s="45">
        <v>7.8E-2</v>
      </c>
      <c r="H11" s="45">
        <v>5.2999999999999999E-2</v>
      </c>
      <c r="I11" s="45">
        <v>6.5000000000000002E-2</v>
      </c>
      <c r="J11" s="45">
        <v>6.3E-2</v>
      </c>
      <c r="K11" s="46">
        <f>SUM(C11:J11)</f>
        <v>0.79499999999999993</v>
      </c>
    </row>
    <row r="12" spans="2:18" x14ac:dyDescent="0.25">
      <c r="C12" s="44">
        <f>C3*3600/180/1.2</f>
        <v>100.85092333333334</v>
      </c>
      <c r="D12" s="44">
        <f t="shared" ref="D12:J12" si="0">D3*3600/180/1.2</f>
        <v>112.554945</v>
      </c>
      <c r="E12" s="44">
        <f t="shared" si="0"/>
        <v>103.65948833333333</v>
      </c>
      <c r="F12" s="44">
        <f t="shared" si="0"/>
        <v>42.185676666666666</v>
      </c>
      <c r="G12" s="44">
        <f t="shared" si="0"/>
        <v>18.011340000000004</v>
      </c>
      <c r="H12" s="44">
        <f t="shared" si="0"/>
        <v>21.733918333333332</v>
      </c>
      <c r="I12" s="44">
        <f t="shared" si="0"/>
        <v>21.54302666666667</v>
      </c>
      <c r="J12" s="44">
        <f t="shared" si="0"/>
        <v>48.478273333333341</v>
      </c>
      <c r="K12" s="44">
        <f>SUMPRODUCT($C$11:$J$11,C12:J12)/$K$11</f>
        <v>64.791398278826023</v>
      </c>
    </row>
    <row r="13" spans="2:18" x14ac:dyDescent="0.25">
      <c r="C13" s="44">
        <f t="shared" ref="C13:J13" si="1">C4*3600/180/1.2</f>
        <v>102.14023166666666</v>
      </c>
      <c r="D13" s="44">
        <f t="shared" si="1"/>
        <v>112.98543000000001</v>
      </c>
      <c r="E13" s="44">
        <f t="shared" si="1"/>
        <v>105.50336999999999</v>
      </c>
      <c r="F13" s="44">
        <f t="shared" si="1"/>
        <v>21.992950000000004</v>
      </c>
      <c r="G13" s="44">
        <f t="shared" si="1"/>
        <v>17.242453333333337</v>
      </c>
      <c r="H13" s="44">
        <f t="shared" si="1"/>
        <v>18.933180000000004</v>
      </c>
      <c r="I13" s="44">
        <f t="shared" si="1"/>
        <v>9.425672333333333</v>
      </c>
      <c r="J13" s="44">
        <f t="shared" si="1"/>
        <v>34.187583333333329</v>
      </c>
      <c r="K13" s="44">
        <f t="shared" ref="K13:K17" si="2">SUMPRODUCT($C$11:$J$11,C13:J13)/$K$11</f>
        <v>58.132525517819701</v>
      </c>
    </row>
    <row r="14" spans="2:18" x14ac:dyDescent="0.25">
      <c r="C14" s="44">
        <f t="shared" ref="C14:J14" si="3">C5*3600/180/1.2</f>
        <v>96.210323333333335</v>
      </c>
      <c r="D14" s="44">
        <f t="shared" si="3"/>
        <v>109.51381333333336</v>
      </c>
      <c r="E14" s="44">
        <f t="shared" si="3"/>
        <v>99.384173333333337</v>
      </c>
      <c r="F14" s="44">
        <f t="shared" si="3"/>
        <v>26.972840000000005</v>
      </c>
      <c r="G14" s="44">
        <f t="shared" si="3"/>
        <v>22.653670000000002</v>
      </c>
      <c r="H14" s="44">
        <f t="shared" si="3"/>
        <v>24.505379999999999</v>
      </c>
      <c r="I14" s="44">
        <f t="shared" si="3"/>
        <v>22.198088333333335</v>
      </c>
      <c r="J14" s="44">
        <f t="shared" si="3"/>
        <v>45.438978333333338</v>
      </c>
      <c r="K14" s="44">
        <f t="shared" si="2"/>
        <v>59.854546020964378</v>
      </c>
    </row>
    <row r="15" spans="2:18" x14ac:dyDescent="0.25">
      <c r="C15" s="44">
        <f t="shared" ref="C15:J17" si="4">C6*3600/180/1.2</f>
        <v>89.330338333333344</v>
      </c>
      <c r="D15" s="44">
        <f t="shared" si="4"/>
        <v>101.44367</v>
      </c>
      <c r="E15" s="44">
        <f t="shared" si="4"/>
        <v>96.168338333333352</v>
      </c>
      <c r="F15" s="44">
        <f t="shared" si="4"/>
        <v>80.696443333333335</v>
      </c>
      <c r="G15" s="44">
        <f t="shared" si="4"/>
        <v>19.721673333333335</v>
      </c>
      <c r="H15" s="44">
        <f t="shared" si="4"/>
        <v>11.228082666666667</v>
      </c>
      <c r="I15" s="44">
        <f t="shared" si="4"/>
        <v>17.489131666666665</v>
      </c>
      <c r="J15" s="44">
        <f t="shared" si="4"/>
        <v>41.660350000000001</v>
      </c>
      <c r="K15" s="44">
        <f t="shared" si="2"/>
        <v>68.592493603354299</v>
      </c>
    </row>
    <row r="16" spans="2:18" x14ac:dyDescent="0.25">
      <c r="C16" s="44">
        <f>C7*3600/180/1.2</f>
        <v>90.433148333333335</v>
      </c>
      <c r="D16" s="44">
        <f t="shared" si="4"/>
        <v>100.78969333333333</v>
      </c>
      <c r="E16" s="44">
        <f t="shared" si="4"/>
        <v>93.087880000000013</v>
      </c>
      <c r="F16" s="44">
        <f t="shared" si="4"/>
        <v>80.485535000000013</v>
      </c>
      <c r="G16" s="44">
        <f t="shared" si="4"/>
        <v>19.165963333333334</v>
      </c>
      <c r="H16" s="44">
        <f t="shared" si="4"/>
        <v>22.227781666666669</v>
      </c>
      <c r="I16" s="44">
        <f t="shared" si="4"/>
        <v>19.350365</v>
      </c>
      <c r="J16" s="44">
        <f t="shared" si="4"/>
        <v>49.21271500000001</v>
      </c>
      <c r="K16" s="44">
        <f t="shared" si="2"/>
        <v>69.296665842767311</v>
      </c>
    </row>
    <row r="17" spans="3:11" x14ac:dyDescent="0.25">
      <c r="C17" s="44">
        <f>C8*3600/180/1.2</f>
        <v>86.833340000000007</v>
      </c>
      <c r="D17" s="44">
        <f t="shared" si="4"/>
        <v>94.743338333333327</v>
      </c>
      <c r="E17" s="44">
        <f t="shared" si="4"/>
        <v>83.957271666666671</v>
      </c>
      <c r="F17" s="44">
        <f t="shared" si="4"/>
        <v>79.80014833333334</v>
      </c>
      <c r="G17" s="44">
        <f t="shared" si="4"/>
        <v>27.325311666666668</v>
      </c>
      <c r="H17" s="44">
        <f t="shared" si="4"/>
        <v>28.513298333333335</v>
      </c>
      <c r="I17" s="44">
        <f t="shared" si="4"/>
        <v>30.768009999999997</v>
      </c>
      <c r="J17" s="44">
        <f t="shared" si="4"/>
        <v>62.420085000000007</v>
      </c>
      <c r="K17" s="44">
        <f t="shared" si="2"/>
        <v>69.229604316561847</v>
      </c>
    </row>
  </sheetData>
  <phoneticPr fontId="15" type="noConversion"/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2_Button1_Click">
                <anchor moveWithCells="1" sizeWithCells="1">
                  <from>
                    <xdr:col>19</xdr:col>
                    <xdr:colOff>198120</xdr:colOff>
                    <xdr:row>2</xdr:row>
                    <xdr:rowOff>7620</xdr:rowOff>
                  </from>
                  <to>
                    <xdr:col>21</xdr:col>
                    <xdr:colOff>160020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pageSetUpPr fitToPage="1"/>
  </sheetPr>
  <dimension ref="A1:BC264"/>
  <sheetViews>
    <sheetView zoomScale="85" zoomScaleNormal="85" workbookViewId="0">
      <pane ySplit="6" topLeftCell="A7" activePane="bottomLeft" state="frozen"/>
      <selection pane="bottomLeft" activeCell="AU20" sqref="AU20"/>
    </sheetView>
  </sheetViews>
  <sheetFormatPr defaultRowHeight="14.4" x14ac:dyDescent="0.25"/>
  <cols>
    <col min="32" max="32" width="14.109375" customWidth="1"/>
  </cols>
  <sheetData>
    <row r="1" spans="1:55" x14ac:dyDescent="0.25">
      <c r="C1" s="12" t="s">
        <v>11</v>
      </c>
      <c r="D1" s="12" t="s">
        <v>12</v>
      </c>
      <c r="E1" s="12" t="s">
        <v>13</v>
      </c>
      <c r="F1" s="12" t="s">
        <v>14</v>
      </c>
      <c r="G1" s="12" t="s">
        <v>15</v>
      </c>
      <c r="H1" s="12" t="s">
        <v>16</v>
      </c>
      <c r="I1" s="12" t="s">
        <v>17</v>
      </c>
      <c r="J1" s="12" t="s">
        <v>18</v>
      </c>
      <c r="K1" s="12" t="s">
        <v>19</v>
      </c>
      <c r="L1" s="12" t="s">
        <v>20</v>
      </c>
      <c r="M1" s="12" t="s">
        <v>21</v>
      </c>
      <c r="N1" s="12" t="s">
        <v>22</v>
      </c>
      <c r="O1" s="12" t="s">
        <v>23</v>
      </c>
      <c r="P1" s="12" t="s">
        <v>24</v>
      </c>
      <c r="Q1" s="12" t="s">
        <v>25</v>
      </c>
      <c r="R1" s="12" t="s">
        <v>26</v>
      </c>
    </row>
    <row r="2" spans="1:55" x14ac:dyDescent="0.25">
      <c r="C2" s="45">
        <v>2.1000000000000001E-2</v>
      </c>
      <c r="D2" s="45">
        <v>6.0999999999999999E-2</v>
      </c>
      <c r="E2" s="45">
        <v>7.5999999999999998E-2</v>
      </c>
      <c r="F2" s="45">
        <v>0.14000000000000001</v>
      </c>
      <c r="G2" s="45">
        <v>0.22500000000000001</v>
      </c>
      <c r="H2" s="45">
        <v>0.111</v>
      </c>
      <c r="I2" s="45">
        <v>5.2999999999999999E-2</v>
      </c>
      <c r="J2" s="45">
        <v>4.3999999999999997E-2</v>
      </c>
      <c r="K2" s="45">
        <v>4.3999999999999997E-2</v>
      </c>
      <c r="L2" s="45">
        <v>6.2E-2</v>
      </c>
      <c r="M2" s="45">
        <v>5.8999999999999997E-2</v>
      </c>
      <c r="N2" s="45">
        <v>3.6999999999999998E-2</v>
      </c>
      <c r="O2" s="45">
        <v>2.7E-2</v>
      </c>
      <c r="P2" s="45">
        <v>1.4999999999999999E-2</v>
      </c>
      <c r="Q2" s="45">
        <v>1.2999999999999999E-2</v>
      </c>
      <c r="R2" s="45">
        <v>1.2E-2</v>
      </c>
    </row>
    <row r="3" spans="1:55" x14ac:dyDescent="0.25">
      <c r="C3" s="44">
        <v>4.5</v>
      </c>
      <c r="D3" s="44">
        <v>7.3</v>
      </c>
      <c r="E3" s="44">
        <v>7.3</v>
      </c>
      <c r="F3" s="44">
        <v>7.3</v>
      </c>
      <c r="G3" s="44">
        <v>7.3</v>
      </c>
      <c r="H3" s="44">
        <v>5.09</v>
      </c>
      <c r="I3" s="44">
        <v>5.09</v>
      </c>
      <c r="J3" s="44">
        <v>5.09</v>
      </c>
      <c r="K3" s="44">
        <v>5.09</v>
      </c>
      <c r="L3" s="44">
        <v>4.0199999999999996</v>
      </c>
      <c r="M3" s="44">
        <v>4.0199999999999996</v>
      </c>
      <c r="N3" s="44">
        <v>4.0199999999999996</v>
      </c>
      <c r="O3" s="44">
        <v>4.0199999999999996</v>
      </c>
      <c r="P3" s="44">
        <v>4.5</v>
      </c>
      <c r="Q3" s="44">
        <v>4.5</v>
      </c>
      <c r="R3" s="44">
        <v>4.5</v>
      </c>
    </row>
    <row r="5" spans="1:55" x14ac:dyDescent="0.25">
      <c r="C5" t="s">
        <v>225</v>
      </c>
    </row>
    <row r="6" spans="1:55" x14ac:dyDescent="0.25">
      <c r="C6" s="1" t="s">
        <v>12</v>
      </c>
      <c r="D6" t="s">
        <v>13</v>
      </c>
      <c r="E6" t="s">
        <v>14</v>
      </c>
      <c r="F6" t="s">
        <v>15</v>
      </c>
      <c r="G6" t="s">
        <v>16</v>
      </c>
      <c r="H6" t="s">
        <v>17</v>
      </c>
      <c r="I6" t="s">
        <v>229</v>
      </c>
      <c r="J6" t="s">
        <v>230</v>
      </c>
      <c r="K6" t="s">
        <v>110</v>
      </c>
      <c r="N6" s="1" t="s">
        <v>12</v>
      </c>
      <c r="O6" t="s">
        <v>13</v>
      </c>
      <c r="P6" t="s">
        <v>14</v>
      </c>
      <c r="Q6" t="s">
        <v>15</v>
      </c>
      <c r="R6" t="s">
        <v>16</v>
      </c>
      <c r="S6" t="s">
        <v>17</v>
      </c>
      <c r="T6" t="s">
        <v>229</v>
      </c>
      <c r="U6" t="s">
        <v>230</v>
      </c>
      <c r="W6" s="1" t="str">
        <f>C6</f>
        <v>NNE</v>
      </c>
      <c r="X6" t="str">
        <f t="shared" ref="X6:AD6" si="0">D6</f>
        <v>NE</v>
      </c>
      <c r="Y6" t="str">
        <f t="shared" si="0"/>
        <v>ENE</v>
      </c>
      <c r="Z6" t="str">
        <f t="shared" si="0"/>
        <v>E</v>
      </c>
      <c r="AA6" t="str">
        <f t="shared" si="0"/>
        <v>ESE</v>
      </c>
      <c r="AB6" t="str">
        <f t="shared" si="0"/>
        <v>SE</v>
      </c>
      <c r="AC6" t="str">
        <f t="shared" si="0"/>
        <v>SSW</v>
      </c>
      <c r="AD6" t="str">
        <f t="shared" si="0"/>
        <v>SW</v>
      </c>
      <c r="AG6" s="1" t="s">
        <v>12</v>
      </c>
      <c r="AH6" t="s">
        <v>13</v>
      </c>
      <c r="AI6" t="s">
        <v>14</v>
      </c>
      <c r="AJ6" t="s">
        <v>15</v>
      </c>
      <c r="AK6" t="s">
        <v>16</v>
      </c>
      <c r="AL6" t="s">
        <v>17</v>
      </c>
      <c r="AM6" t="s">
        <v>20</v>
      </c>
      <c r="AN6" t="s">
        <v>21</v>
      </c>
      <c r="AO6" t="s">
        <v>110</v>
      </c>
    </row>
    <row r="7" spans="1:55" x14ac:dyDescent="0.25">
      <c r="C7" s="65">
        <f>D2</f>
        <v>6.0999999999999999E-2</v>
      </c>
      <c r="D7" s="65">
        <f t="shared" ref="D7:H7" si="1">E2</f>
        <v>7.5999999999999998E-2</v>
      </c>
      <c r="E7" s="65">
        <f t="shared" si="1"/>
        <v>0.14000000000000001</v>
      </c>
      <c r="F7" s="65">
        <f t="shared" si="1"/>
        <v>0.22500000000000001</v>
      </c>
      <c r="G7" s="65">
        <f t="shared" si="1"/>
        <v>0.111</v>
      </c>
      <c r="H7" s="65">
        <f t="shared" si="1"/>
        <v>5.2999999999999999E-2</v>
      </c>
      <c r="I7" s="65">
        <f>L2</f>
        <v>6.2E-2</v>
      </c>
      <c r="J7" s="65">
        <f>M2</f>
        <v>5.8999999999999997E-2</v>
      </c>
      <c r="K7" s="46">
        <f>SUM(C7:J7)</f>
        <v>0.78699999999999992</v>
      </c>
      <c r="W7" s="65">
        <f t="shared" ref="W7:W8" si="2">C7</f>
        <v>6.0999999999999999E-2</v>
      </c>
      <c r="X7" s="65">
        <f t="shared" ref="X7:X8" si="3">D7</f>
        <v>7.5999999999999998E-2</v>
      </c>
      <c r="Y7" s="65">
        <f t="shared" ref="Y7:Y8" si="4">E7</f>
        <v>0.14000000000000001</v>
      </c>
      <c r="Z7" s="65">
        <f t="shared" ref="Z7:Z8" si="5">F7</f>
        <v>0.22500000000000001</v>
      </c>
      <c r="AA7" s="65">
        <f t="shared" ref="AA7:AA8" si="6">G7</f>
        <v>0.111</v>
      </c>
      <c r="AB7" s="65">
        <f t="shared" ref="AB7:AB8" si="7">H7</f>
        <v>5.2999999999999999E-2</v>
      </c>
      <c r="AC7" s="65">
        <f t="shared" ref="AC7:AC8" si="8">I7</f>
        <v>6.2E-2</v>
      </c>
      <c r="AD7" s="65">
        <f t="shared" ref="AD7:AD8" si="9">J7</f>
        <v>5.8999999999999997E-2</v>
      </c>
      <c r="AG7" s="45">
        <f>W7</f>
        <v>6.0999999999999999E-2</v>
      </c>
      <c r="AH7" s="45">
        <f t="shared" ref="AH7:AN8" si="10">X7</f>
        <v>7.5999999999999998E-2</v>
      </c>
      <c r="AI7" s="45">
        <f t="shared" si="10"/>
        <v>0.14000000000000001</v>
      </c>
      <c r="AJ7" s="45">
        <f t="shared" si="10"/>
        <v>0.22500000000000001</v>
      </c>
      <c r="AK7" s="45">
        <f t="shared" si="10"/>
        <v>0.111</v>
      </c>
      <c r="AL7" s="45">
        <f t="shared" si="10"/>
        <v>5.2999999999999999E-2</v>
      </c>
      <c r="AM7" s="45">
        <f t="shared" si="10"/>
        <v>6.2E-2</v>
      </c>
      <c r="AN7" s="45">
        <f t="shared" si="10"/>
        <v>5.8999999999999997E-2</v>
      </c>
    </row>
    <row r="8" spans="1:55" x14ac:dyDescent="0.25">
      <c r="C8" s="75">
        <f>D3</f>
        <v>7.3</v>
      </c>
      <c r="D8" s="75">
        <f t="shared" ref="D8:H8" si="11">E3</f>
        <v>7.3</v>
      </c>
      <c r="E8" s="75">
        <f t="shared" si="11"/>
        <v>7.3</v>
      </c>
      <c r="F8" s="75">
        <f t="shared" si="11"/>
        <v>7.3</v>
      </c>
      <c r="G8" s="75">
        <f t="shared" si="11"/>
        <v>5.09</v>
      </c>
      <c r="H8" s="75">
        <f t="shared" si="11"/>
        <v>5.09</v>
      </c>
      <c r="I8" s="75">
        <f>L3</f>
        <v>4.0199999999999996</v>
      </c>
      <c r="J8" s="75">
        <f>M3</f>
        <v>4.0199999999999996</v>
      </c>
      <c r="K8" s="46"/>
      <c r="W8" s="66">
        <f t="shared" si="2"/>
        <v>7.3</v>
      </c>
      <c r="X8" s="66">
        <f t="shared" si="3"/>
        <v>7.3</v>
      </c>
      <c r="Y8" s="66">
        <f t="shared" si="4"/>
        <v>7.3</v>
      </c>
      <c r="Z8" s="66">
        <f t="shared" si="5"/>
        <v>7.3</v>
      </c>
      <c r="AA8" s="66">
        <f t="shared" si="6"/>
        <v>5.09</v>
      </c>
      <c r="AB8" s="66">
        <f t="shared" si="7"/>
        <v>5.09</v>
      </c>
      <c r="AC8" s="66">
        <f t="shared" si="8"/>
        <v>4.0199999999999996</v>
      </c>
      <c r="AD8" s="66">
        <f t="shared" si="9"/>
        <v>4.0199999999999996</v>
      </c>
      <c r="AG8" s="63">
        <f>W8</f>
        <v>7.3</v>
      </c>
      <c r="AH8" s="63">
        <f t="shared" si="10"/>
        <v>7.3</v>
      </c>
      <c r="AI8" s="63">
        <f t="shared" si="10"/>
        <v>7.3</v>
      </c>
      <c r="AJ8" s="63">
        <f t="shared" si="10"/>
        <v>7.3</v>
      </c>
      <c r="AK8" s="63">
        <f t="shared" si="10"/>
        <v>5.09</v>
      </c>
      <c r="AL8" s="63">
        <f t="shared" si="10"/>
        <v>5.09</v>
      </c>
      <c r="AM8" s="63">
        <f t="shared" si="10"/>
        <v>4.0199999999999996</v>
      </c>
      <c r="AN8" s="63">
        <f t="shared" si="10"/>
        <v>4.0199999999999996</v>
      </c>
    </row>
    <row r="9" spans="1:55" ht="15.6" x14ac:dyDescent="0.25">
      <c r="B9" s="61" t="s">
        <v>98</v>
      </c>
      <c r="C9" s="74">
        <v>4.0601625439999998</v>
      </c>
      <c r="D9" s="74">
        <v>3.8623645309999999</v>
      </c>
      <c r="E9" s="74">
        <v>3.3624792100000001</v>
      </c>
      <c r="F9" s="74">
        <v>3.5405740739999998</v>
      </c>
      <c r="G9" s="74">
        <v>1.258063674</v>
      </c>
      <c r="H9" s="74">
        <v>1.6405475140000001</v>
      </c>
      <c r="I9" s="74">
        <v>0.53297764059999997</v>
      </c>
      <c r="J9" s="74">
        <v>0.2002482116</v>
      </c>
      <c r="K9" s="44">
        <f t="shared" ref="K9:K72" si="12">SUMPRODUCT(C9:J9,$C$7:$J$7)/$K$7</f>
        <v>2.6429977380528591</v>
      </c>
      <c r="N9">
        <v>0.95</v>
      </c>
      <c r="O9">
        <v>0.95</v>
      </c>
      <c r="P9">
        <v>0.95</v>
      </c>
      <c r="Q9">
        <v>1</v>
      </c>
      <c r="R9">
        <v>1</v>
      </c>
      <c r="S9">
        <v>0.95</v>
      </c>
      <c r="T9">
        <v>1</v>
      </c>
      <c r="U9">
        <v>1</v>
      </c>
      <c r="W9" s="44">
        <f>C9*N9</f>
        <v>3.8571544167999994</v>
      </c>
      <c r="X9" s="44">
        <f t="shared" ref="X9:AD9" si="13">D9*O9</f>
        <v>3.6692463044499997</v>
      </c>
      <c r="Y9" s="44">
        <f t="shared" si="13"/>
        <v>3.1943552495</v>
      </c>
      <c r="Z9" s="44">
        <f t="shared" si="13"/>
        <v>3.5405740739999998</v>
      </c>
      <c r="AA9" s="44">
        <f t="shared" si="13"/>
        <v>1.258063674</v>
      </c>
      <c r="AB9" s="44">
        <f t="shared" si="13"/>
        <v>1.5585201383</v>
      </c>
      <c r="AC9" s="44">
        <f t="shared" si="13"/>
        <v>0.53297764059999997</v>
      </c>
      <c r="AD9" s="44">
        <f t="shared" si="13"/>
        <v>0.2002482116</v>
      </c>
      <c r="AF9" s="61" t="str">
        <f>B9</f>
        <v>P1</v>
      </c>
      <c r="AG9" s="44">
        <f>W9/W$8</f>
        <v>0.52837731736986293</v>
      </c>
      <c r="AH9" s="44">
        <f t="shared" ref="AH9:AN9" si="14">X9/X$8</f>
        <v>0.50263648006164385</v>
      </c>
      <c r="AI9" s="44">
        <f t="shared" si="14"/>
        <v>0.43758291089041096</v>
      </c>
      <c r="AJ9" s="44">
        <f t="shared" si="14"/>
        <v>0.48501014712328766</v>
      </c>
      <c r="AK9" s="44">
        <f t="shared" si="14"/>
        <v>0.24716378664047151</v>
      </c>
      <c r="AL9" s="44">
        <f t="shared" si="14"/>
        <v>0.30619256155206287</v>
      </c>
      <c r="AM9" s="44">
        <f t="shared" si="14"/>
        <v>0.13258150263681592</v>
      </c>
      <c r="AN9" s="44">
        <f t="shared" si="14"/>
        <v>4.9812987960199014E-2</v>
      </c>
      <c r="AO9" s="44">
        <f t="shared" ref="AO9:AO72" si="15">SUMPRODUCT(AG9:AN9,$C$7:$J$7)/$K$7</f>
        <v>0.3756577954309146</v>
      </c>
      <c r="AR9" s="68" t="s">
        <v>257</v>
      </c>
      <c r="AS9" s="69" t="s">
        <v>12</v>
      </c>
      <c r="AT9" s="68" t="s">
        <v>13</v>
      </c>
      <c r="AU9" s="68" t="s">
        <v>14</v>
      </c>
      <c r="AV9" s="68" t="s">
        <v>15</v>
      </c>
      <c r="AW9" s="68" t="s">
        <v>16</v>
      </c>
      <c r="AX9" s="68" t="s">
        <v>17</v>
      </c>
      <c r="AY9" s="68" t="s">
        <v>20</v>
      </c>
      <c r="AZ9" s="68" t="s">
        <v>21</v>
      </c>
      <c r="BA9" s="68" t="s">
        <v>110</v>
      </c>
    </row>
    <row r="10" spans="1:55" ht="15.6" x14ac:dyDescent="0.25">
      <c r="A10" s="59"/>
      <c r="B10" s="62" t="s">
        <v>99</v>
      </c>
      <c r="C10" s="74">
        <v>4.3291749949999998</v>
      </c>
      <c r="D10" s="74">
        <v>3.9793214799999999</v>
      </c>
      <c r="E10" s="74">
        <v>3.4347641470000001</v>
      </c>
      <c r="F10" s="74">
        <v>2.8152279849999999</v>
      </c>
      <c r="G10" s="74">
        <v>1.0400313139999999</v>
      </c>
      <c r="H10" s="74">
        <v>1.3291606899999999</v>
      </c>
      <c r="I10" s="74">
        <v>0.46261292700000001</v>
      </c>
      <c r="J10" s="74">
        <v>0.87305158380000003</v>
      </c>
      <c r="K10" s="44">
        <f t="shared" si="12"/>
        <v>2.4738023147677257</v>
      </c>
      <c r="L10" s="59"/>
      <c r="N10">
        <v>0.95</v>
      </c>
      <c r="O10">
        <v>0.95</v>
      </c>
      <c r="P10">
        <v>0.95</v>
      </c>
      <c r="Q10">
        <v>1</v>
      </c>
      <c r="R10">
        <v>1</v>
      </c>
      <c r="S10">
        <v>0.95</v>
      </c>
      <c r="T10">
        <v>1</v>
      </c>
      <c r="U10">
        <v>1</v>
      </c>
      <c r="W10" s="44">
        <f t="shared" ref="W10:W73" si="16">C10*N10</f>
        <v>4.1127162452499997</v>
      </c>
      <c r="X10" s="44">
        <f t="shared" ref="X10:X73" si="17">D10*O10</f>
        <v>3.7803554059999995</v>
      </c>
      <c r="Y10" s="44">
        <f t="shared" ref="Y10:Y73" si="18">E10*P10</f>
        <v>3.2630259396499999</v>
      </c>
      <c r="Z10" s="44">
        <f t="shared" ref="Z10:Z73" si="19">F10*Q10</f>
        <v>2.8152279849999999</v>
      </c>
      <c r="AA10" s="44">
        <f t="shared" ref="AA10:AA73" si="20">G10*R10</f>
        <v>1.0400313139999999</v>
      </c>
      <c r="AB10" s="44">
        <f t="shared" ref="AB10:AB73" si="21">H10*S10</f>
        <v>1.2627026554999998</v>
      </c>
      <c r="AC10" s="44">
        <f t="shared" ref="AC10:AC73" si="22">I10*T10</f>
        <v>0.46261292700000001</v>
      </c>
      <c r="AD10" s="44">
        <f t="shared" ref="AD10:AD73" si="23">J10*U10</f>
        <v>0.87305158380000003</v>
      </c>
      <c r="AF10" s="61" t="str">
        <f t="shared" ref="AF10:AF73" si="24">B10</f>
        <v>P2</v>
      </c>
      <c r="AG10" s="44">
        <f t="shared" ref="AG10:AG72" si="25">W10/W$8</f>
        <v>0.56338578702054787</v>
      </c>
      <c r="AH10" s="44">
        <f t="shared" ref="AH10:AH73" si="26">X10/X$8</f>
        <v>0.51785690493150682</v>
      </c>
      <c r="AI10" s="44">
        <f t="shared" ref="AI10:AI73" si="27">Y10/Y$8</f>
        <v>0.44698985474657532</v>
      </c>
      <c r="AJ10" s="44">
        <f t="shared" ref="AJ10:AJ73" si="28">Z10/Z$8</f>
        <v>0.38564766917808219</v>
      </c>
      <c r="AK10" s="44">
        <f t="shared" ref="AK10:AK73" si="29">AA10/AA$8</f>
        <v>0.20432835245579567</v>
      </c>
      <c r="AL10" s="44">
        <f t="shared" ref="AL10:AL73" si="30">AB10/AB$8</f>
        <v>0.24807517789783887</v>
      </c>
      <c r="AM10" s="44">
        <f t="shared" ref="AM10:AM73" si="31">AC10/AC$8</f>
        <v>0.11507784253731344</v>
      </c>
      <c r="AN10" s="44">
        <f t="shared" ref="AN10:AN73" si="32">AD10/AD$8</f>
        <v>0.21717701089552241</v>
      </c>
      <c r="AO10" s="44">
        <f t="shared" si="15"/>
        <v>0.35431977693006989</v>
      </c>
      <c r="AR10" s="68" t="s">
        <v>255</v>
      </c>
      <c r="AS10" s="70">
        <f>AG133</f>
        <v>0.28209603486330725</v>
      </c>
      <c r="AT10" s="70">
        <f t="shared" ref="AT10:BA10" si="33">AH133</f>
        <v>0.29406821409117417</v>
      </c>
      <c r="AU10" s="70">
        <f t="shared" si="33"/>
        <v>0.24384310403636006</v>
      </c>
      <c r="AV10" s="70">
        <f t="shared" si="33"/>
        <v>0.21641795369941294</v>
      </c>
      <c r="AW10" s="70">
        <f t="shared" si="33"/>
        <v>0.1841494416761156</v>
      </c>
      <c r="AX10" s="70">
        <f t="shared" si="33"/>
        <v>0.15012014559388157</v>
      </c>
      <c r="AY10" s="70">
        <f t="shared" si="33"/>
        <v>0.32945514456574276</v>
      </c>
      <c r="AZ10" s="70">
        <f t="shared" si="33"/>
        <v>0.2862321950262971</v>
      </c>
      <c r="BA10" s="70">
        <f t="shared" si="33"/>
        <v>0.23900888279186969</v>
      </c>
      <c r="BC10" s="78"/>
    </row>
    <row r="11" spans="1:55" ht="15.6" x14ac:dyDescent="0.25">
      <c r="A11" s="57"/>
      <c r="B11" s="61" t="s">
        <v>100</v>
      </c>
      <c r="C11" s="74">
        <v>3.8715579510000002</v>
      </c>
      <c r="D11" s="74">
        <v>3.486340523</v>
      </c>
      <c r="E11" s="74">
        <v>2.9492044449999999</v>
      </c>
      <c r="F11" s="74">
        <v>2.7157316210000002</v>
      </c>
      <c r="G11" s="74">
        <v>1.0611048940000001</v>
      </c>
      <c r="H11" s="74">
        <v>1.237891436</v>
      </c>
      <c r="I11" s="74">
        <v>0.33075547220000001</v>
      </c>
      <c r="J11" s="74">
        <v>1.5539659260000001</v>
      </c>
      <c r="K11" s="44">
        <f t="shared" si="12"/>
        <v>2.3133886531593397</v>
      </c>
      <c r="L11" s="44"/>
      <c r="N11">
        <v>0.95</v>
      </c>
      <c r="O11">
        <v>0.95</v>
      </c>
      <c r="P11">
        <v>0.95</v>
      </c>
      <c r="Q11">
        <v>1</v>
      </c>
      <c r="R11">
        <v>1</v>
      </c>
      <c r="S11">
        <v>0.95</v>
      </c>
      <c r="T11">
        <v>1</v>
      </c>
      <c r="U11">
        <v>1</v>
      </c>
      <c r="W11" s="44">
        <f t="shared" si="16"/>
        <v>3.6779800534500002</v>
      </c>
      <c r="X11" s="44">
        <f t="shared" si="17"/>
        <v>3.3120234968499997</v>
      </c>
      <c r="Y11" s="44">
        <f t="shared" si="18"/>
        <v>2.8017442227499996</v>
      </c>
      <c r="Z11" s="44">
        <f t="shared" si="19"/>
        <v>2.7157316210000002</v>
      </c>
      <c r="AA11" s="44">
        <f t="shared" si="20"/>
        <v>1.0611048940000001</v>
      </c>
      <c r="AB11" s="44">
        <f t="shared" si="21"/>
        <v>1.1759968641999998</v>
      </c>
      <c r="AC11" s="44">
        <f t="shared" si="22"/>
        <v>0.33075547220000001</v>
      </c>
      <c r="AD11" s="44">
        <f t="shared" si="23"/>
        <v>1.5539659260000001</v>
      </c>
      <c r="AF11" s="61" t="str">
        <f t="shared" si="24"/>
        <v>P3</v>
      </c>
      <c r="AG11" s="44">
        <f t="shared" si="25"/>
        <v>0.50383288403424664</v>
      </c>
      <c r="AH11" s="44">
        <f t="shared" si="26"/>
        <v>0.45370184888356163</v>
      </c>
      <c r="AI11" s="44">
        <f t="shared" si="27"/>
        <v>0.38380057845890408</v>
      </c>
      <c r="AJ11" s="44">
        <f t="shared" si="28"/>
        <v>0.37201803027397262</v>
      </c>
      <c r="AK11" s="44">
        <f t="shared" si="29"/>
        <v>0.20846854499017684</v>
      </c>
      <c r="AL11" s="44">
        <f t="shared" si="30"/>
        <v>0.23104064129666008</v>
      </c>
      <c r="AM11" s="44">
        <f t="shared" si="31"/>
        <v>8.2277480646766182E-2</v>
      </c>
      <c r="AN11" s="44">
        <f t="shared" si="32"/>
        <v>0.38655868805970156</v>
      </c>
      <c r="AO11" s="44">
        <f t="shared" si="15"/>
        <v>0.33792199887596525</v>
      </c>
      <c r="AR11" s="68" t="s">
        <v>256</v>
      </c>
      <c r="AS11" s="70">
        <f>AG263</f>
        <v>0.28517738865088066</v>
      </c>
      <c r="AT11" s="70">
        <f t="shared" ref="AT11:BA11" si="34">AH263</f>
        <v>0.28386817448297458</v>
      </c>
      <c r="AU11" s="70">
        <f t="shared" si="34"/>
        <v>0.22037801344540117</v>
      </c>
      <c r="AV11" s="70">
        <f t="shared" si="34"/>
        <v>0.22805289553365951</v>
      </c>
      <c r="AW11" s="70">
        <f t="shared" si="34"/>
        <v>0.16538841893179909</v>
      </c>
      <c r="AX11" s="70">
        <f t="shared" si="34"/>
        <v>0.14134347939724951</v>
      </c>
      <c r="AY11" s="70">
        <f t="shared" si="34"/>
        <v>0.33791005377388067</v>
      </c>
      <c r="AZ11" s="70">
        <f t="shared" si="34"/>
        <v>0.29089317365870648</v>
      </c>
      <c r="BA11" s="70">
        <f t="shared" si="34"/>
        <v>0.23519322088331335</v>
      </c>
      <c r="BC11" s="79"/>
    </row>
    <row r="12" spans="1:55" ht="15.6" x14ac:dyDescent="0.25">
      <c r="A12" s="60"/>
      <c r="B12" s="62" t="s">
        <v>101</v>
      </c>
      <c r="C12" s="74">
        <v>3.2958011630000001</v>
      </c>
      <c r="D12" s="74">
        <v>2.9060008530000001</v>
      </c>
      <c r="E12" s="74">
        <v>2.3357214929999999</v>
      </c>
      <c r="F12" s="74">
        <v>3.103234053</v>
      </c>
      <c r="G12" s="74">
        <v>1.11544311</v>
      </c>
      <c r="H12" s="74">
        <v>1.3962984089999999</v>
      </c>
      <c r="I12" s="74">
        <v>0.97210365529999998</v>
      </c>
      <c r="J12" s="74">
        <v>1.3130289319999999</v>
      </c>
      <c r="K12" s="44">
        <f t="shared" si="12"/>
        <v>2.2651661260731895</v>
      </c>
      <c r="L12" s="58"/>
      <c r="N12">
        <v>0.95</v>
      </c>
      <c r="O12">
        <v>0.95</v>
      </c>
      <c r="P12">
        <v>0.95</v>
      </c>
      <c r="Q12">
        <v>1</v>
      </c>
      <c r="R12">
        <v>1</v>
      </c>
      <c r="S12">
        <v>0.95</v>
      </c>
      <c r="T12">
        <v>1</v>
      </c>
      <c r="U12">
        <v>1</v>
      </c>
      <c r="W12" s="44">
        <f t="shared" si="16"/>
        <v>3.1310111048499998</v>
      </c>
      <c r="X12" s="44">
        <f t="shared" si="17"/>
        <v>2.7607008103499999</v>
      </c>
      <c r="Y12" s="44">
        <f t="shared" si="18"/>
        <v>2.2189354183499996</v>
      </c>
      <c r="Z12" s="44">
        <f t="shared" si="19"/>
        <v>3.103234053</v>
      </c>
      <c r="AA12" s="44">
        <f t="shared" si="20"/>
        <v>1.11544311</v>
      </c>
      <c r="AB12" s="44">
        <f t="shared" si="21"/>
        <v>1.3264834885499999</v>
      </c>
      <c r="AC12" s="44">
        <f t="shared" si="22"/>
        <v>0.97210365529999998</v>
      </c>
      <c r="AD12" s="44">
        <f t="shared" si="23"/>
        <v>1.3130289319999999</v>
      </c>
      <c r="AF12" s="61" t="str">
        <f t="shared" si="24"/>
        <v>P4</v>
      </c>
      <c r="AG12" s="44">
        <f t="shared" si="25"/>
        <v>0.42890563080136984</v>
      </c>
      <c r="AH12" s="44">
        <f t="shared" si="26"/>
        <v>0.37817819319863011</v>
      </c>
      <c r="AI12" s="44">
        <f t="shared" si="27"/>
        <v>0.30396375593835612</v>
      </c>
      <c r="AJ12" s="44">
        <f t="shared" si="28"/>
        <v>0.42510055520547946</v>
      </c>
      <c r="AK12" s="44">
        <f t="shared" si="29"/>
        <v>0.21914402946954814</v>
      </c>
      <c r="AL12" s="44">
        <f t="shared" si="30"/>
        <v>0.26060579342829077</v>
      </c>
      <c r="AM12" s="44">
        <f t="shared" si="31"/>
        <v>0.24181682967661694</v>
      </c>
      <c r="AN12" s="44">
        <f t="shared" si="32"/>
        <v>0.32662411243781098</v>
      </c>
      <c r="AO12" s="44">
        <f t="shared" si="15"/>
        <v>0.33736708679946964</v>
      </c>
      <c r="AR12" s="68"/>
      <c r="AS12" s="78">
        <f>(AS10-AS11)/AS10</f>
        <v>-1.0923066639580767E-2</v>
      </c>
      <c r="AT12" s="78">
        <f t="shared" ref="AT12:BA12" si="35">(AT10-AT11)/AT10</f>
        <v>3.4685964410411017E-2</v>
      </c>
      <c r="AU12" s="78">
        <f t="shared" si="35"/>
        <v>9.6230281695642905E-2</v>
      </c>
      <c r="AV12" s="78">
        <f t="shared" si="35"/>
        <v>-5.3761444627678928E-2</v>
      </c>
      <c r="AW12" s="78">
        <f t="shared" si="35"/>
        <v>0.10187933546555976</v>
      </c>
      <c r="AX12" s="78">
        <f t="shared" si="35"/>
        <v>5.8464279806758793E-2</v>
      </c>
      <c r="AY12" s="78">
        <f t="shared" si="35"/>
        <v>-2.5663309095635412E-2</v>
      </c>
      <c r="AZ12" s="78">
        <f t="shared" si="35"/>
        <v>-1.6283907657491728E-2</v>
      </c>
      <c r="BA12" s="78">
        <f t="shared" si="35"/>
        <v>1.5964519242906296E-2</v>
      </c>
      <c r="BC12" s="79"/>
    </row>
    <row r="13" spans="1:55" ht="15.6" x14ac:dyDescent="0.25">
      <c r="A13" s="57"/>
      <c r="B13" s="61" t="s">
        <v>102</v>
      </c>
      <c r="C13" s="74">
        <v>2.9815294739999998</v>
      </c>
      <c r="D13" s="74">
        <v>2.558150768</v>
      </c>
      <c r="E13" s="74">
        <v>2.0112805370000002</v>
      </c>
      <c r="F13" s="74">
        <v>0.90933746100000001</v>
      </c>
      <c r="G13" s="74">
        <v>0.67995762829999995</v>
      </c>
      <c r="H13" s="74">
        <v>0.15721131860000001</v>
      </c>
      <c r="I13" s="74">
        <v>0.14744718370000001</v>
      </c>
      <c r="J13" s="74">
        <v>0.3783983588</v>
      </c>
      <c r="K13" s="44">
        <f t="shared" si="12"/>
        <v>1.2423731707404067</v>
      </c>
      <c r="L13" s="44"/>
      <c r="N13">
        <v>0.95</v>
      </c>
      <c r="O13">
        <v>0.95</v>
      </c>
      <c r="P13">
        <v>0.95</v>
      </c>
      <c r="Q13">
        <v>1</v>
      </c>
      <c r="R13">
        <v>1</v>
      </c>
      <c r="S13">
        <v>0.95</v>
      </c>
      <c r="T13">
        <v>1</v>
      </c>
      <c r="U13">
        <v>1</v>
      </c>
      <c r="W13" s="44">
        <f t="shared" si="16"/>
        <v>2.8324530002999997</v>
      </c>
      <c r="X13" s="44">
        <f t="shared" si="17"/>
        <v>2.4302432295999998</v>
      </c>
      <c r="Y13" s="44">
        <f t="shared" si="18"/>
        <v>1.9107165101500001</v>
      </c>
      <c r="Z13" s="44">
        <f t="shared" si="19"/>
        <v>0.90933746100000001</v>
      </c>
      <c r="AA13" s="44">
        <f t="shared" si="20"/>
        <v>0.67995762829999995</v>
      </c>
      <c r="AB13" s="44">
        <f t="shared" si="21"/>
        <v>0.14935075267</v>
      </c>
      <c r="AC13" s="44">
        <f t="shared" si="22"/>
        <v>0.14744718370000001</v>
      </c>
      <c r="AD13" s="44">
        <f t="shared" si="23"/>
        <v>0.3783983588</v>
      </c>
      <c r="AF13" s="61" t="str">
        <f t="shared" si="24"/>
        <v>P5</v>
      </c>
      <c r="AG13" s="44">
        <f t="shared" si="25"/>
        <v>0.38800726031506844</v>
      </c>
      <c r="AH13" s="44">
        <f t="shared" si="26"/>
        <v>0.33291003145205478</v>
      </c>
      <c r="AI13" s="44">
        <f t="shared" si="27"/>
        <v>0.26174198769178086</v>
      </c>
      <c r="AJ13" s="44">
        <f t="shared" si="28"/>
        <v>0.12456677547945207</v>
      </c>
      <c r="AK13" s="44">
        <f t="shared" si="29"/>
        <v>0.13358696037328094</v>
      </c>
      <c r="AL13" s="44">
        <f t="shared" si="30"/>
        <v>2.9341994630648332E-2</v>
      </c>
      <c r="AM13" s="44">
        <f t="shared" si="31"/>
        <v>3.6678403905472647E-2</v>
      </c>
      <c r="AN13" s="44">
        <f t="shared" si="32"/>
        <v>9.412894497512439E-2</v>
      </c>
      <c r="AO13" s="44">
        <f t="shared" si="15"/>
        <v>0.1751613153009296</v>
      </c>
      <c r="AR13" s="68" t="s">
        <v>258</v>
      </c>
      <c r="AS13" s="69" t="s">
        <v>12</v>
      </c>
      <c r="AT13" s="68" t="s">
        <v>13</v>
      </c>
      <c r="AU13" s="68" t="s">
        <v>14</v>
      </c>
      <c r="AV13" s="68" t="s">
        <v>15</v>
      </c>
      <c r="AW13" s="68" t="s">
        <v>16</v>
      </c>
      <c r="AX13" s="68" t="s">
        <v>17</v>
      </c>
      <c r="AY13" s="68" t="s">
        <v>20</v>
      </c>
      <c r="AZ13" s="68" t="s">
        <v>21</v>
      </c>
      <c r="BA13" s="68" t="s">
        <v>110</v>
      </c>
      <c r="BC13" s="79"/>
    </row>
    <row r="14" spans="1:55" ht="15.6" x14ac:dyDescent="0.25">
      <c r="A14" s="60"/>
      <c r="B14" s="62" t="s">
        <v>103</v>
      </c>
      <c r="C14" s="74">
        <v>1.872907281</v>
      </c>
      <c r="D14" s="74">
        <v>1.3119081260000001</v>
      </c>
      <c r="E14" s="74">
        <v>0.40529438849999999</v>
      </c>
      <c r="F14" s="74">
        <v>2.2022638319999999</v>
      </c>
      <c r="G14" s="74">
        <v>0.60304975510000003</v>
      </c>
      <c r="H14" s="74">
        <v>0.97977489230000003</v>
      </c>
      <c r="I14" s="74">
        <v>1.5257096290000001</v>
      </c>
      <c r="J14" s="74">
        <v>0.64843744039999995</v>
      </c>
      <c r="K14" s="44">
        <f t="shared" si="12"/>
        <v>1.293419741291741</v>
      </c>
      <c r="L14" s="58"/>
      <c r="N14">
        <v>0.95</v>
      </c>
      <c r="O14">
        <v>0.95</v>
      </c>
      <c r="P14">
        <v>0.95</v>
      </c>
      <c r="Q14">
        <v>1</v>
      </c>
      <c r="R14">
        <v>1</v>
      </c>
      <c r="S14">
        <v>0.95</v>
      </c>
      <c r="T14">
        <v>1</v>
      </c>
      <c r="U14">
        <v>1</v>
      </c>
      <c r="W14" s="44">
        <f t="shared" si="16"/>
        <v>1.7792619169499999</v>
      </c>
      <c r="X14" s="44">
        <f t="shared" si="17"/>
        <v>1.2463127196999999</v>
      </c>
      <c r="Y14" s="44">
        <f t="shared" si="18"/>
        <v>0.38502966907499997</v>
      </c>
      <c r="Z14" s="44">
        <f t="shared" si="19"/>
        <v>2.2022638319999999</v>
      </c>
      <c r="AA14" s="44">
        <f t="shared" si="20"/>
        <v>0.60304975510000003</v>
      </c>
      <c r="AB14" s="44">
        <f t="shared" si="21"/>
        <v>0.93078614768500001</v>
      </c>
      <c r="AC14" s="44">
        <f t="shared" si="22"/>
        <v>1.5257096290000001</v>
      </c>
      <c r="AD14" s="44">
        <f t="shared" si="23"/>
        <v>0.64843744039999995</v>
      </c>
      <c r="AF14" s="61" t="str">
        <f t="shared" si="24"/>
        <v>P6</v>
      </c>
      <c r="AG14" s="44">
        <f t="shared" si="25"/>
        <v>0.24373450917123288</v>
      </c>
      <c r="AH14" s="44">
        <f t="shared" si="26"/>
        <v>0.17072776982191781</v>
      </c>
      <c r="AI14" s="44">
        <f t="shared" si="27"/>
        <v>5.2743790284246569E-2</v>
      </c>
      <c r="AJ14" s="44">
        <f t="shared" si="28"/>
        <v>0.30167997698630133</v>
      </c>
      <c r="AK14" s="44">
        <f t="shared" si="29"/>
        <v>0.11847735856581533</v>
      </c>
      <c r="AL14" s="44">
        <f t="shared" si="30"/>
        <v>0.18286564787524559</v>
      </c>
      <c r="AM14" s="44">
        <f t="shared" si="31"/>
        <v>0.37952975845771147</v>
      </c>
      <c r="AN14" s="44">
        <f t="shared" si="32"/>
        <v>0.16130284587064678</v>
      </c>
      <c r="AO14" s="44">
        <f t="shared" si="15"/>
        <v>0.20202772566272312</v>
      </c>
      <c r="AR14" s="68" t="s">
        <v>255</v>
      </c>
      <c r="AS14" s="70">
        <f>AG134</f>
        <v>0.2193048794525701</v>
      </c>
      <c r="AT14" s="70">
        <f t="shared" ref="AT14:BA14" si="36">AH134</f>
        <v>0.22857652486289762</v>
      </c>
      <c r="AU14" s="70">
        <f t="shared" si="36"/>
        <v>0.21940812455119305</v>
      </c>
      <c r="AV14" s="70">
        <f t="shared" si="36"/>
        <v>0.21809653432247011</v>
      </c>
      <c r="AW14" s="70">
        <f t="shared" si="36"/>
        <v>0.16103336333666587</v>
      </c>
      <c r="AX14" s="70">
        <f t="shared" si="36"/>
        <v>0.15152299196647437</v>
      </c>
      <c r="AY14" s="70">
        <f t="shared" si="36"/>
        <v>0.28734846114026658</v>
      </c>
      <c r="AZ14" s="70">
        <f t="shared" si="36"/>
        <v>0.25138914758991338</v>
      </c>
      <c r="BA14" s="70">
        <f t="shared" si="36"/>
        <v>0.21485547318806136</v>
      </c>
      <c r="BC14" s="78"/>
    </row>
    <row r="15" spans="1:55" ht="15.6" x14ac:dyDescent="0.25">
      <c r="A15" s="57"/>
      <c r="B15" s="61" t="s">
        <v>104</v>
      </c>
      <c r="C15" s="74">
        <v>1.058014512</v>
      </c>
      <c r="D15" s="74">
        <v>1.5807684660000001</v>
      </c>
      <c r="E15" s="74">
        <v>1.5087118150000001</v>
      </c>
      <c r="F15" s="74">
        <v>2.8287756439999998</v>
      </c>
      <c r="G15" s="74">
        <v>1.471849322</v>
      </c>
      <c r="H15" s="74">
        <v>1.384981751</v>
      </c>
      <c r="I15" s="74">
        <v>0.34223186970000002</v>
      </c>
      <c r="J15" s="74">
        <v>0.35863220689999997</v>
      </c>
      <c r="K15" s="44">
        <f t="shared" si="12"/>
        <v>1.6664910372573061</v>
      </c>
      <c r="L15" s="44"/>
      <c r="N15">
        <v>0.95</v>
      </c>
      <c r="O15">
        <v>0.95</v>
      </c>
      <c r="P15">
        <v>0.95</v>
      </c>
      <c r="Q15">
        <v>1</v>
      </c>
      <c r="R15">
        <v>1</v>
      </c>
      <c r="S15">
        <v>0.95</v>
      </c>
      <c r="T15">
        <v>1</v>
      </c>
      <c r="U15">
        <v>1</v>
      </c>
      <c r="W15" s="44">
        <f t="shared" si="16"/>
        <v>1.0051137863999999</v>
      </c>
      <c r="X15" s="44">
        <f t="shared" si="17"/>
        <v>1.5017300427</v>
      </c>
      <c r="Y15" s="44">
        <f t="shared" si="18"/>
        <v>1.4332762242499999</v>
      </c>
      <c r="Z15" s="44">
        <f t="shared" si="19"/>
        <v>2.8287756439999998</v>
      </c>
      <c r="AA15" s="44">
        <f t="shared" si="20"/>
        <v>1.471849322</v>
      </c>
      <c r="AB15" s="44">
        <f t="shared" si="21"/>
        <v>1.31573266345</v>
      </c>
      <c r="AC15" s="44">
        <f t="shared" si="22"/>
        <v>0.34223186970000002</v>
      </c>
      <c r="AD15" s="44">
        <f t="shared" si="23"/>
        <v>0.35863220689999997</v>
      </c>
      <c r="AF15" s="61" t="str">
        <f t="shared" si="24"/>
        <v>P7</v>
      </c>
      <c r="AG15" s="44">
        <f t="shared" si="25"/>
        <v>0.13768682005479452</v>
      </c>
      <c r="AH15" s="44">
        <f t="shared" si="26"/>
        <v>0.20571644420547947</v>
      </c>
      <c r="AI15" s="44">
        <f t="shared" si="27"/>
        <v>0.19633920880136985</v>
      </c>
      <c r="AJ15" s="44">
        <f t="shared" si="28"/>
        <v>0.38750351287671231</v>
      </c>
      <c r="AK15" s="44">
        <f t="shared" si="29"/>
        <v>0.28916489626719055</v>
      </c>
      <c r="AL15" s="44">
        <f t="shared" si="30"/>
        <v>0.25849364704322197</v>
      </c>
      <c r="AM15" s="44">
        <f t="shared" si="31"/>
        <v>8.5132305895522398E-2</v>
      </c>
      <c r="AN15" s="44">
        <f t="shared" si="32"/>
        <v>8.921199176616916E-2</v>
      </c>
      <c r="AO15" s="44">
        <f t="shared" si="15"/>
        <v>0.24783774164051622</v>
      </c>
      <c r="AR15" s="68" t="s">
        <v>256</v>
      </c>
      <c r="AS15" s="70">
        <f>AG264</f>
        <v>0.2346389435721056</v>
      </c>
      <c r="AT15" s="70">
        <f t="shared" ref="AT15:BA15" si="37">AH264</f>
        <v>0.22931538490865003</v>
      </c>
      <c r="AU15" s="70">
        <f t="shared" si="37"/>
        <v>0.21317057130313741</v>
      </c>
      <c r="AV15" s="70">
        <f t="shared" si="37"/>
        <v>0.21538091494630768</v>
      </c>
      <c r="AW15" s="70">
        <f t="shared" si="37"/>
        <v>0.15891908087204509</v>
      </c>
      <c r="AX15" s="70">
        <f t="shared" si="37"/>
        <v>0.14144422382157223</v>
      </c>
      <c r="AY15" s="70">
        <f t="shared" si="37"/>
        <v>0.30439670750839565</v>
      </c>
      <c r="AZ15" s="70">
        <f t="shared" si="37"/>
        <v>0.27458408261147904</v>
      </c>
      <c r="BA15" s="70">
        <f t="shared" si="37"/>
        <v>0.21633437005749995</v>
      </c>
    </row>
    <row r="16" spans="1:55" ht="15.6" x14ac:dyDescent="0.25">
      <c r="A16" s="60"/>
      <c r="B16" s="62" t="s">
        <v>105</v>
      </c>
      <c r="C16" s="74">
        <v>2.495450258</v>
      </c>
      <c r="D16" s="74">
        <v>2.4065918919999998</v>
      </c>
      <c r="E16" s="74">
        <v>1.816703677</v>
      </c>
      <c r="F16" s="74">
        <v>0.3616696298</v>
      </c>
      <c r="G16" s="74">
        <v>1.482902884</v>
      </c>
      <c r="H16" s="74">
        <v>0.29642221330000001</v>
      </c>
      <c r="I16" s="74">
        <v>1.9001926179999999</v>
      </c>
      <c r="J16" s="74">
        <v>1.603925467</v>
      </c>
      <c r="K16" s="44">
        <f t="shared" si="12"/>
        <v>1.3514533333073697</v>
      </c>
      <c r="L16" s="58"/>
      <c r="N16">
        <v>0.95</v>
      </c>
      <c r="O16">
        <v>0.95</v>
      </c>
      <c r="P16">
        <v>0.95</v>
      </c>
      <c r="Q16">
        <v>1</v>
      </c>
      <c r="R16">
        <v>1</v>
      </c>
      <c r="S16">
        <v>0.95</v>
      </c>
      <c r="T16">
        <v>1</v>
      </c>
      <c r="U16">
        <v>1</v>
      </c>
      <c r="W16" s="44">
        <f t="shared" si="16"/>
        <v>2.3706777451000001</v>
      </c>
      <c r="X16" s="44">
        <f t="shared" si="17"/>
        <v>2.2862622973999995</v>
      </c>
      <c r="Y16" s="44">
        <f t="shared" si="18"/>
        <v>1.7258684931499999</v>
      </c>
      <c r="Z16" s="44">
        <f t="shared" si="19"/>
        <v>0.3616696298</v>
      </c>
      <c r="AA16" s="44">
        <f t="shared" si="20"/>
        <v>1.482902884</v>
      </c>
      <c r="AB16" s="44">
        <f t="shared" si="21"/>
        <v>0.28160110263499999</v>
      </c>
      <c r="AC16" s="44">
        <f t="shared" si="22"/>
        <v>1.9001926179999999</v>
      </c>
      <c r="AD16" s="44">
        <f t="shared" si="23"/>
        <v>1.603925467</v>
      </c>
      <c r="AF16" s="61" t="str">
        <f t="shared" si="24"/>
        <v>P8</v>
      </c>
      <c r="AG16" s="44">
        <f t="shared" si="25"/>
        <v>0.32475037604109591</v>
      </c>
      <c r="AH16" s="44">
        <f t="shared" si="26"/>
        <v>0.31318661608219173</v>
      </c>
      <c r="AI16" s="44">
        <f t="shared" si="27"/>
        <v>0.23642034152739724</v>
      </c>
      <c r="AJ16" s="44">
        <f t="shared" si="28"/>
        <v>4.9543784904109593E-2</v>
      </c>
      <c r="AK16" s="44">
        <f t="shared" si="29"/>
        <v>0.2913365194499018</v>
      </c>
      <c r="AL16" s="44">
        <f t="shared" si="30"/>
        <v>5.5324381657170921E-2</v>
      </c>
      <c r="AM16" s="44">
        <f t="shared" si="31"/>
        <v>0.47268473084577117</v>
      </c>
      <c r="AN16" s="44">
        <f t="shared" si="32"/>
        <v>0.39898643457711447</v>
      </c>
      <c r="AO16" s="44">
        <f t="shared" si="15"/>
        <v>0.22360273699780231</v>
      </c>
      <c r="AS16" s="78">
        <f>(AS14-AS15)/AS14</f>
        <v>-6.9921217247023715E-2</v>
      </c>
      <c r="AT16" s="78">
        <f t="shared" ref="AT16" si="38">(AT14-AT15)/AT14</f>
        <v>-3.2324406287810394E-3</v>
      </c>
      <c r="AU16" s="78">
        <f t="shared" ref="AU16" si="39">(AU14-AU15)/AU14</f>
        <v>2.8428998519607104E-2</v>
      </c>
      <c r="AV16" s="78">
        <f t="shared" ref="AV16" si="40">(AV14-AV15)/AV14</f>
        <v>1.245145588671856E-2</v>
      </c>
      <c r="AW16" s="78">
        <f t="shared" ref="AW16" si="41">(AW14-AW15)/AW14</f>
        <v>1.3129468458039577E-2</v>
      </c>
      <c r="AX16" s="78">
        <f t="shared" ref="AX16" si="42">(AX14-AX15)/AX14</f>
        <v>6.651642773218297E-2</v>
      </c>
      <c r="AY16" s="78">
        <f t="shared" ref="AY16" si="43">(AY14-AY15)/AY14</f>
        <v>-5.9329520333874779E-2</v>
      </c>
      <c r="AZ16" s="78">
        <f t="shared" ref="AZ16" si="44">(AZ14-AZ15)/AZ14</f>
        <v>-9.2267049886350497E-2</v>
      </c>
      <c r="BA16" s="78">
        <f t="shared" ref="BA16" si="45">(BA14-BA15)/BA14</f>
        <v>-6.8832171109931041E-3</v>
      </c>
    </row>
    <row r="17" spans="1:41" ht="15.6" x14ac:dyDescent="0.25">
      <c r="A17" s="57"/>
      <c r="B17" s="61" t="s">
        <v>106</v>
      </c>
      <c r="C17" s="74">
        <v>3.1600849630000001</v>
      </c>
      <c r="D17" s="74">
        <v>2.9164934159999998</v>
      </c>
      <c r="E17" s="74">
        <v>1.8035515550000001</v>
      </c>
      <c r="F17" s="74">
        <v>0.20000720020000001</v>
      </c>
      <c r="G17" s="74">
        <v>1.5467119220000001</v>
      </c>
      <c r="H17" s="74">
        <v>0.27362319829999998</v>
      </c>
      <c r="I17" s="74">
        <v>1.7987183330000001</v>
      </c>
      <c r="J17" s="74">
        <v>1.6287004949999999</v>
      </c>
      <c r="K17" s="44">
        <f t="shared" si="12"/>
        <v>1.4049789565526047</v>
      </c>
      <c r="L17" s="44"/>
      <c r="N17">
        <v>0.95</v>
      </c>
      <c r="O17">
        <v>0.95</v>
      </c>
      <c r="P17">
        <v>0.95</v>
      </c>
      <c r="Q17">
        <v>1</v>
      </c>
      <c r="R17">
        <v>1</v>
      </c>
      <c r="S17">
        <v>0.95</v>
      </c>
      <c r="T17">
        <v>1</v>
      </c>
      <c r="U17">
        <v>1</v>
      </c>
      <c r="W17" s="44">
        <f t="shared" si="16"/>
        <v>3.0020807148499999</v>
      </c>
      <c r="X17" s="44">
        <f t="shared" si="17"/>
        <v>2.7706687451999996</v>
      </c>
      <c r="Y17" s="44">
        <f t="shared" si="18"/>
        <v>1.7133739772500001</v>
      </c>
      <c r="Z17" s="44">
        <f t="shared" si="19"/>
        <v>0.20000720020000001</v>
      </c>
      <c r="AA17" s="44">
        <f t="shared" si="20"/>
        <v>1.5467119220000001</v>
      </c>
      <c r="AB17" s="44">
        <f t="shared" si="21"/>
        <v>0.25994203838499996</v>
      </c>
      <c r="AC17" s="44">
        <f t="shared" si="22"/>
        <v>1.7987183330000001</v>
      </c>
      <c r="AD17" s="44">
        <f t="shared" si="23"/>
        <v>1.6287004949999999</v>
      </c>
      <c r="AF17" s="61" t="str">
        <f t="shared" si="24"/>
        <v>P9</v>
      </c>
      <c r="AG17" s="44">
        <f t="shared" si="25"/>
        <v>0.4112439335410959</v>
      </c>
      <c r="AH17" s="44">
        <f t="shared" si="26"/>
        <v>0.37954366372602738</v>
      </c>
      <c r="AI17" s="44">
        <f t="shared" si="27"/>
        <v>0.23470876400684934</v>
      </c>
      <c r="AJ17" s="44">
        <f t="shared" si="28"/>
        <v>2.7398246602739727E-2</v>
      </c>
      <c r="AK17" s="44">
        <f t="shared" si="29"/>
        <v>0.30387267622789788</v>
      </c>
      <c r="AL17" s="44">
        <f t="shared" si="30"/>
        <v>5.1069162747544201E-2</v>
      </c>
      <c r="AM17" s="44">
        <f t="shared" si="31"/>
        <v>0.44744237139303489</v>
      </c>
      <c r="AN17" s="44">
        <f t="shared" si="32"/>
        <v>0.40514937686567165</v>
      </c>
      <c r="AO17" s="44">
        <f t="shared" si="15"/>
        <v>0.23003405817550138</v>
      </c>
    </row>
    <row r="18" spans="1:41" ht="15.6" x14ac:dyDescent="0.25">
      <c r="A18" s="60"/>
      <c r="B18" s="62" t="s">
        <v>107</v>
      </c>
      <c r="C18" s="74">
        <v>3.0793504710000001</v>
      </c>
      <c r="D18" s="74">
        <v>2.3953485489999999</v>
      </c>
      <c r="E18" s="74">
        <v>3.1808915139999998</v>
      </c>
      <c r="F18" s="74">
        <v>0.82541239259999999</v>
      </c>
      <c r="G18" s="74">
        <v>1.1072255369999999</v>
      </c>
      <c r="H18" s="74">
        <v>0.58869177100000003</v>
      </c>
      <c r="I18" s="74">
        <v>1.4657031300000001</v>
      </c>
      <c r="J18" s="74">
        <v>1.3259422780000001</v>
      </c>
      <c r="K18" s="44">
        <f t="shared" si="12"/>
        <v>1.6825112524548924</v>
      </c>
      <c r="L18" s="58"/>
      <c r="N18">
        <v>0.95</v>
      </c>
      <c r="O18">
        <v>0.95</v>
      </c>
      <c r="P18">
        <v>0.95</v>
      </c>
      <c r="Q18">
        <v>1</v>
      </c>
      <c r="R18">
        <v>1</v>
      </c>
      <c r="S18">
        <v>0.95</v>
      </c>
      <c r="T18">
        <v>1</v>
      </c>
      <c r="U18">
        <v>1</v>
      </c>
      <c r="W18" s="44">
        <f t="shared" si="16"/>
        <v>2.9253829474500002</v>
      </c>
      <c r="X18" s="44">
        <f t="shared" si="17"/>
        <v>2.2755811215499997</v>
      </c>
      <c r="Y18" s="44">
        <f t="shared" si="18"/>
        <v>3.0218469382999995</v>
      </c>
      <c r="Z18" s="44">
        <f t="shared" si="19"/>
        <v>0.82541239259999999</v>
      </c>
      <c r="AA18" s="44">
        <f t="shared" si="20"/>
        <v>1.1072255369999999</v>
      </c>
      <c r="AB18" s="44">
        <f t="shared" si="21"/>
        <v>0.55925718245</v>
      </c>
      <c r="AC18" s="44">
        <f t="shared" si="22"/>
        <v>1.4657031300000001</v>
      </c>
      <c r="AD18" s="44">
        <f t="shared" si="23"/>
        <v>1.3259422780000001</v>
      </c>
      <c r="AF18" s="61" t="str">
        <f t="shared" si="24"/>
        <v>P10</v>
      </c>
      <c r="AG18" s="44">
        <f t="shared" si="25"/>
        <v>0.40073739006164388</v>
      </c>
      <c r="AH18" s="44">
        <f t="shared" si="26"/>
        <v>0.31172344130821916</v>
      </c>
      <c r="AI18" s="44">
        <f t="shared" si="27"/>
        <v>0.41395163538356161</v>
      </c>
      <c r="AJ18" s="44">
        <f t="shared" si="28"/>
        <v>0.11307019076712328</v>
      </c>
      <c r="AK18" s="44">
        <f t="shared" si="29"/>
        <v>0.21752957504911591</v>
      </c>
      <c r="AL18" s="44">
        <f t="shared" si="30"/>
        <v>0.10987370971512771</v>
      </c>
      <c r="AM18" s="44">
        <f t="shared" si="31"/>
        <v>0.36460276865671648</v>
      </c>
      <c r="AN18" s="44">
        <f t="shared" si="32"/>
        <v>0.32983638756218914</v>
      </c>
      <c r="AO18" s="44">
        <f t="shared" si="15"/>
        <v>0.25865920225886346</v>
      </c>
    </row>
    <row r="19" spans="1:41" ht="15.6" x14ac:dyDescent="0.25">
      <c r="A19" s="57"/>
      <c r="B19" s="61" t="s">
        <v>108</v>
      </c>
      <c r="C19" s="74">
        <v>3.1868357660000002</v>
      </c>
      <c r="D19" s="74">
        <v>2.6605837349999999</v>
      </c>
      <c r="E19" s="74">
        <v>3.263445377</v>
      </c>
      <c r="F19" s="74">
        <v>1.3172302250000001</v>
      </c>
      <c r="G19" s="74">
        <v>1.0995109080000001</v>
      </c>
      <c r="H19" s="74">
        <v>0.26780018210000001</v>
      </c>
      <c r="I19" s="74">
        <v>1.457094431</v>
      </c>
      <c r="J19" s="74">
        <v>1.2941025500000001</v>
      </c>
      <c r="K19" s="44">
        <f t="shared" si="12"/>
        <v>1.845986689456544</v>
      </c>
      <c r="L19" s="44"/>
      <c r="N19">
        <v>0.95</v>
      </c>
      <c r="O19">
        <v>0.95</v>
      </c>
      <c r="P19">
        <v>0.95</v>
      </c>
      <c r="Q19">
        <v>1</v>
      </c>
      <c r="R19">
        <v>1</v>
      </c>
      <c r="S19">
        <v>0.95</v>
      </c>
      <c r="T19">
        <v>1</v>
      </c>
      <c r="U19">
        <v>1</v>
      </c>
      <c r="W19" s="44">
        <f t="shared" si="16"/>
        <v>3.0274939776999998</v>
      </c>
      <c r="X19" s="44">
        <f t="shared" si="17"/>
        <v>2.5275545482499999</v>
      </c>
      <c r="Y19" s="44">
        <f t="shared" si="18"/>
        <v>3.1002731081499997</v>
      </c>
      <c r="Z19" s="44">
        <f t="shared" si="19"/>
        <v>1.3172302250000001</v>
      </c>
      <c r="AA19" s="44">
        <f t="shared" si="20"/>
        <v>1.0995109080000001</v>
      </c>
      <c r="AB19" s="44">
        <f t="shared" si="21"/>
        <v>0.25441017299500002</v>
      </c>
      <c r="AC19" s="44">
        <f t="shared" si="22"/>
        <v>1.457094431</v>
      </c>
      <c r="AD19" s="44">
        <f t="shared" si="23"/>
        <v>1.2941025500000001</v>
      </c>
      <c r="AF19" s="61" t="str">
        <f t="shared" si="24"/>
        <v>P11</v>
      </c>
      <c r="AG19" s="44">
        <f t="shared" si="25"/>
        <v>0.41472520242465755</v>
      </c>
      <c r="AH19" s="44">
        <f t="shared" si="26"/>
        <v>0.34624034907534246</v>
      </c>
      <c r="AI19" s="44">
        <f t="shared" si="27"/>
        <v>0.42469494632191779</v>
      </c>
      <c r="AJ19" s="44">
        <f t="shared" si="28"/>
        <v>0.18044249657534248</v>
      </c>
      <c r="AK19" s="44">
        <f t="shared" si="29"/>
        <v>0.21601393084479373</v>
      </c>
      <c r="AL19" s="44">
        <f t="shared" si="30"/>
        <v>4.998235225834971E-2</v>
      </c>
      <c r="AM19" s="44">
        <f t="shared" si="31"/>
        <v>0.36246130124378112</v>
      </c>
      <c r="AN19" s="44">
        <f t="shared" si="32"/>
        <v>0.32191605721393041</v>
      </c>
      <c r="AO19" s="44">
        <f t="shared" si="15"/>
        <v>0.27923966599536432</v>
      </c>
    </row>
    <row r="20" spans="1:41" ht="15.6" x14ac:dyDescent="0.25">
      <c r="A20" s="60"/>
      <c r="B20" s="62" t="s">
        <v>109</v>
      </c>
      <c r="C20" s="74">
        <v>3.342295885</v>
      </c>
      <c r="D20" s="74">
        <v>3.3403906819999998</v>
      </c>
      <c r="E20" s="74">
        <v>3.4216430189999998</v>
      </c>
      <c r="F20" s="74">
        <v>1.21704042</v>
      </c>
      <c r="G20" s="74">
        <v>0.91598773</v>
      </c>
      <c r="H20" s="74">
        <v>0.70848757029999998</v>
      </c>
      <c r="I20" s="74">
        <v>1.7071336509999999</v>
      </c>
      <c r="J20" s="74">
        <v>1.496998429</v>
      </c>
      <c r="K20" s="44">
        <f t="shared" si="12"/>
        <v>1.9618850456237615</v>
      </c>
      <c r="L20" s="58"/>
      <c r="N20">
        <v>0.95</v>
      </c>
      <c r="O20">
        <v>0.95</v>
      </c>
      <c r="P20">
        <v>0.95</v>
      </c>
      <c r="Q20">
        <v>1</v>
      </c>
      <c r="R20">
        <v>1</v>
      </c>
      <c r="S20">
        <v>0.95</v>
      </c>
      <c r="T20">
        <v>1</v>
      </c>
      <c r="U20">
        <v>1</v>
      </c>
      <c r="W20" s="44">
        <f t="shared" si="16"/>
        <v>3.1751810907499998</v>
      </c>
      <c r="X20" s="44">
        <f t="shared" si="17"/>
        <v>3.1733711478999997</v>
      </c>
      <c r="Y20" s="44">
        <f t="shared" si="18"/>
        <v>3.2505608680499996</v>
      </c>
      <c r="Z20" s="44">
        <f t="shared" si="19"/>
        <v>1.21704042</v>
      </c>
      <c r="AA20" s="44">
        <f t="shared" si="20"/>
        <v>0.91598773</v>
      </c>
      <c r="AB20" s="44">
        <f t="shared" si="21"/>
        <v>0.67306319178499996</v>
      </c>
      <c r="AC20" s="44">
        <f t="shared" si="22"/>
        <v>1.7071336509999999</v>
      </c>
      <c r="AD20" s="44">
        <f t="shared" si="23"/>
        <v>1.496998429</v>
      </c>
      <c r="AF20" s="61" t="str">
        <f t="shared" si="24"/>
        <v>P12</v>
      </c>
      <c r="AG20" s="44">
        <f t="shared" si="25"/>
        <v>0.43495631380136984</v>
      </c>
      <c r="AH20" s="44">
        <f t="shared" si="26"/>
        <v>0.43470837642465748</v>
      </c>
      <c r="AI20" s="44">
        <f t="shared" si="27"/>
        <v>0.44528231069178076</v>
      </c>
      <c r="AJ20" s="44">
        <f t="shared" si="28"/>
        <v>0.16671786575342468</v>
      </c>
      <c r="AK20" s="44">
        <f t="shared" si="29"/>
        <v>0.17995829666011789</v>
      </c>
      <c r="AL20" s="44">
        <f t="shared" si="30"/>
        <v>0.13223245418172888</v>
      </c>
      <c r="AM20" s="44">
        <f t="shared" si="31"/>
        <v>0.42466011218905475</v>
      </c>
      <c r="AN20" s="44">
        <f t="shared" si="32"/>
        <v>0.3723876689054727</v>
      </c>
      <c r="AO20" s="44">
        <f t="shared" si="15"/>
        <v>0.2982270717453322</v>
      </c>
    </row>
    <row r="21" spans="1:41" ht="15.6" x14ac:dyDescent="0.25">
      <c r="A21" s="57"/>
      <c r="B21" s="61" t="s">
        <v>152</v>
      </c>
      <c r="C21" s="74">
        <v>3.603815794</v>
      </c>
      <c r="D21" s="74">
        <v>3.7094461920000001</v>
      </c>
      <c r="E21" s="74">
        <v>3.1453566550000001</v>
      </c>
      <c r="F21" s="74">
        <v>1.490210891</v>
      </c>
      <c r="G21" s="74">
        <v>0.66973286870000004</v>
      </c>
      <c r="H21" s="74">
        <v>0.29955983159999999</v>
      </c>
      <c r="I21" s="74">
        <v>1.8901207449999999</v>
      </c>
      <c r="J21" s="74">
        <v>1.6648715730000001</v>
      </c>
      <c r="K21" s="44">
        <f t="shared" si="12"/>
        <v>2.0114739322725539</v>
      </c>
      <c r="L21" s="44"/>
      <c r="N21">
        <v>0.95</v>
      </c>
      <c r="O21">
        <v>0.95</v>
      </c>
      <c r="P21">
        <v>0.95</v>
      </c>
      <c r="Q21">
        <v>1</v>
      </c>
      <c r="R21">
        <v>1</v>
      </c>
      <c r="S21">
        <v>0.95</v>
      </c>
      <c r="T21">
        <v>1</v>
      </c>
      <c r="U21">
        <v>1</v>
      </c>
      <c r="W21" s="44">
        <f t="shared" si="16"/>
        <v>3.4236250042999998</v>
      </c>
      <c r="X21" s="44">
        <f t="shared" si="17"/>
        <v>3.5239738824</v>
      </c>
      <c r="Y21" s="44">
        <f t="shared" si="18"/>
        <v>2.9880888222499999</v>
      </c>
      <c r="Z21" s="44">
        <f t="shared" si="19"/>
        <v>1.490210891</v>
      </c>
      <c r="AA21" s="44">
        <f t="shared" si="20"/>
        <v>0.66973286870000004</v>
      </c>
      <c r="AB21" s="44">
        <f t="shared" si="21"/>
        <v>0.28458184001999998</v>
      </c>
      <c r="AC21" s="44">
        <f t="shared" si="22"/>
        <v>1.8901207449999999</v>
      </c>
      <c r="AD21" s="44">
        <f t="shared" si="23"/>
        <v>1.6648715730000001</v>
      </c>
      <c r="AF21" s="61" t="str">
        <f t="shared" si="24"/>
        <v>P13</v>
      </c>
      <c r="AG21" s="44">
        <f t="shared" si="25"/>
        <v>0.46898972661643834</v>
      </c>
      <c r="AH21" s="44">
        <f t="shared" si="26"/>
        <v>0.4827361482739726</v>
      </c>
      <c r="AI21" s="44">
        <f t="shared" si="27"/>
        <v>0.40932723592465753</v>
      </c>
      <c r="AJ21" s="44">
        <f t="shared" si="28"/>
        <v>0.2041384782191781</v>
      </c>
      <c r="AK21" s="44">
        <f t="shared" si="29"/>
        <v>0.13157816673870334</v>
      </c>
      <c r="AL21" s="44">
        <f t="shared" si="30"/>
        <v>5.590998821611002E-2</v>
      </c>
      <c r="AM21" s="44">
        <f t="shared" si="31"/>
        <v>0.47017928980099505</v>
      </c>
      <c r="AN21" s="44">
        <f t="shared" si="32"/>
        <v>0.41414715746268665</v>
      </c>
      <c r="AO21" s="44">
        <f t="shared" si="15"/>
        <v>0.30455844391690207</v>
      </c>
    </row>
    <row r="22" spans="1:41" ht="15.6" x14ac:dyDescent="0.25">
      <c r="A22" s="60"/>
      <c r="B22" s="62" t="s">
        <v>153</v>
      </c>
      <c r="C22" s="74">
        <v>2.4649257659999999</v>
      </c>
      <c r="D22" s="74">
        <v>3.741840839</v>
      </c>
      <c r="E22" s="74">
        <v>3.033208847</v>
      </c>
      <c r="F22" s="74">
        <v>1.34817338</v>
      </c>
      <c r="G22" s="74">
        <v>0.47073811290000001</v>
      </c>
      <c r="H22" s="74">
        <v>0.2269768566</v>
      </c>
      <c r="I22" s="74">
        <v>1.8165811300000001</v>
      </c>
      <c r="J22" s="74">
        <v>1.6806404589999999</v>
      </c>
      <c r="K22" s="44">
        <f t="shared" si="12"/>
        <v>1.8282034887454894</v>
      </c>
      <c r="L22" s="58"/>
      <c r="N22">
        <v>0.95</v>
      </c>
      <c r="O22">
        <v>0.95</v>
      </c>
      <c r="P22">
        <v>0.95</v>
      </c>
      <c r="Q22">
        <v>1</v>
      </c>
      <c r="R22">
        <v>1</v>
      </c>
      <c r="S22">
        <v>0.95</v>
      </c>
      <c r="T22">
        <v>1</v>
      </c>
      <c r="U22">
        <v>1</v>
      </c>
      <c r="W22" s="44">
        <f t="shared" si="16"/>
        <v>2.3416794776999996</v>
      </c>
      <c r="X22" s="44">
        <f t="shared" si="17"/>
        <v>3.5547487970499998</v>
      </c>
      <c r="Y22" s="44">
        <f t="shared" si="18"/>
        <v>2.8815484046499997</v>
      </c>
      <c r="Z22" s="44">
        <f t="shared" si="19"/>
        <v>1.34817338</v>
      </c>
      <c r="AA22" s="44">
        <f t="shared" si="20"/>
        <v>0.47073811290000001</v>
      </c>
      <c r="AB22" s="44">
        <f t="shared" si="21"/>
        <v>0.21562801376999999</v>
      </c>
      <c r="AC22" s="44">
        <f t="shared" si="22"/>
        <v>1.8165811300000001</v>
      </c>
      <c r="AD22" s="44">
        <f t="shared" si="23"/>
        <v>1.6806404589999999</v>
      </c>
      <c r="AF22" s="61" t="str">
        <f t="shared" si="24"/>
        <v>P14</v>
      </c>
      <c r="AG22" s="44">
        <f t="shared" si="25"/>
        <v>0.3207780106438356</v>
      </c>
      <c r="AH22" s="44">
        <f t="shared" si="26"/>
        <v>0.4869518900068493</v>
      </c>
      <c r="AI22" s="44">
        <f t="shared" si="27"/>
        <v>0.39473265817123288</v>
      </c>
      <c r="AJ22" s="44">
        <f t="shared" si="28"/>
        <v>0.18468128493150684</v>
      </c>
      <c r="AK22" s="44">
        <f t="shared" si="29"/>
        <v>9.2482929842829076E-2</v>
      </c>
      <c r="AL22" s="44">
        <f t="shared" si="30"/>
        <v>4.2363067538310414E-2</v>
      </c>
      <c r="AM22" s="44">
        <f t="shared" si="31"/>
        <v>0.4518858532338309</v>
      </c>
      <c r="AN22" s="44">
        <f t="shared" si="32"/>
        <v>0.41806976592039802</v>
      </c>
      <c r="AO22" s="44">
        <f t="shared" si="15"/>
        <v>0.27774529914261964</v>
      </c>
    </row>
    <row r="23" spans="1:41" ht="15.6" x14ac:dyDescent="0.25">
      <c r="A23" s="57"/>
      <c r="B23" s="61" t="s">
        <v>154</v>
      </c>
      <c r="C23" s="74">
        <v>1.4259595869999999</v>
      </c>
      <c r="D23" s="74">
        <v>2.6880850789999999</v>
      </c>
      <c r="E23" s="74">
        <v>1.7089215520000001</v>
      </c>
      <c r="F23" s="74">
        <v>1.1720918419999999</v>
      </c>
      <c r="G23" s="74">
        <v>0.47673967480000001</v>
      </c>
      <c r="H23" s="74">
        <v>0.28019133210000002</v>
      </c>
      <c r="I23" s="74">
        <v>1.2792706490000001</v>
      </c>
      <c r="J23" s="74">
        <v>1.3033034800000001</v>
      </c>
      <c r="K23" s="44">
        <f t="shared" si="12"/>
        <v>1.2938063692542567</v>
      </c>
      <c r="L23" s="44"/>
      <c r="N23">
        <v>0.95</v>
      </c>
      <c r="O23">
        <v>0.95</v>
      </c>
      <c r="P23">
        <v>0.95</v>
      </c>
      <c r="Q23">
        <v>1</v>
      </c>
      <c r="R23">
        <v>1</v>
      </c>
      <c r="S23">
        <v>0.95</v>
      </c>
      <c r="T23">
        <v>1</v>
      </c>
      <c r="U23">
        <v>1</v>
      </c>
      <c r="W23" s="44">
        <f t="shared" si="16"/>
        <v>1.3546616076499998</v>
      </c>
      <c r="X23" s="44">
        <f t="shared" si="17"/>
        <v>2.5536808250499998</v>
      </c>
      <c r="Y23" s="44">
        <f t="shared" si="18"/>
        <v>1.6234754744</v>
      </c>
      <c r="Z23" s="44">
        <f t="shared" si="19"/>
        <v>1.1720918419999999</v>
      </c>
      <c r="AA23" s="44">
        <f t="shared" si="20"/>
        <v>0.47673967480000001</v>
      </c>
      <c r="AB23" s="44">
        <f t="shared" si="21"/>
        <v>0.266181765495</v>
      </c>
      <c r="AC23" s="44">
        <f t="shared" si="22"/>
        <v>1.2792706490000001</v>
      </c>
      <c r="AD23" s="44">
        <f t="shared" si="23"/>
        <v>1.3033034800000001</v>
      </c>
      <c r="AF23" s="61" t="str">
        <f t="shared" si="24"/>
        <v>P15</v>
      </c>
      <c r="AG23" s="44">
        <f t="shared" si="25"/>
        <v>0.18557008323972601</v>
      </c>
      <c r="AH23" s="44">
        <f t="shared" si="26"/>
        <v>0.34981929110273974</v>
      </c>
      <c r="AI23" s="44">
        <f t="shared" si="27"/>
        <v>0.22239390060273972</v>
      </c>
      <c r="AJ23" s="44">
        <f t="shared" si="28"/>
        <v>0.16056052630136985</v>
      </c>
      <c r="AK23" s="44">
        <f t="shared" si="29"/>
        <v>9.3662018624754428E-2</v>
      </c>
      <c r="AL23" s="44">
        <f t="shared" si="30"/>
        <v>5.2295042336935167E-2</v>
      </c>
      <c r="AM23" s="44">
        <f t="shared" si="31"/>
        <v>0.3182265296019901</v>
      </c>
      <c r="AN23" s="44">
        <f t="shared" si="32"/>
        <v>0.32420484577114433</v>
      </c>
      <c r="AO23" s="44">
        <f t="shared" si="15"/>
        <v>0.19973768456245172</v>
      </c>
    </row>
    <row r="24" spans="1:41" ht="15.6" x14ac:dyDescent="0.25">
      <c r="A24" s="60"/>
      <c r="B24" s="62" t="s">
        <v>155</v>
      </c>
      <c r="C24" s="74">
        <v>0.85343867539999996</v>
      </c>
      <c r="D24" s="74">
        <v>2.498365164</v>
      </c>
      <c r="E24" s="74">
        <v>0.81135773659999999</v>
      </c>
      <c r="F24" s="74">
        <v>0.70905148979999999</v>
      </c>
      <c r="G24" s="74">
        <v>0.25270703430000002</v>
      </c>
      <c r="H24" s="74">
        <v>1.3912358279999999</v>
      </c>
      <c r="I24" s="74">
        <v>1.3839279410000001</v>
      </c>
      <c r="J24" s="74">
        <v>1.1462993619999999</v>
      </c>
      <c r="K24" s="44">
        <f t="shared" si="12"/>
        <v>0.97875902717115637</v>
      </c>
      <c r="L24" s="58"/>
      <c r="N24">
        <v>0.95</v>
      </c>
      <c r="O24">
        <v>0.95</v>
      </c>
      <c r="P24">
        <v>0.95</v>
      </c>
      <c r="Q24">
        <v>1</v>
      </c>
      <c r="R24">
        <v>1</v>
      </c>
      <c r="S24">
        <v>0.95</v>
      </c>
      <c r="T24">
        <v>1</v>
      </c>
      <c r="U24">
        <v>1</v>
      </c>
      <c r="W24" s="44">
        <f t="shared" si="16"/>
        <v>0.81076674162999995</v>
      </c>
      <c r="X24" s="44">
        <f t="shared" si="17"/>
        <v>2.3734469057999998</v>
      </c>
      <c r="Y24" s="44">
        <f t="shared" si="18"/>
        <v>0.77078984976999998</v>
      </c>
      <c r="Z24" s="44">
        <f t="shared" si="19"/>
        <v>0.70905148979999999</v>
      </c>
      <c r="AA24" s="44">
        <f t="shared" si="20"/>
        <v>0.25270703430000002</v>
      </c>
      <c r="AB24" s="44">
        <f t="shared" si="21"/>
        <v>1.3216740365999999</v>
      </c>
      <c r="AC24" s="44">
        <f t="shared" si="22"/>
        <v>1.3839279410000001</v>
      </c>
      <c r="AD24" s="44">
        <f t="shared" si="23"/>
        <v>1.1462993619999999</v>
      </c>
      <c r="AF24" s="61" t="str">
        <f t="shared" si="24"/>
        <v>P16</v>
      </c>
      <c r="AG24" s="44">
        <f t="shared" si="25"/>
        <v>0.11106393720958904</v>
      </c>
      <c r="AH24" s="44">
        <f t="shared" si="26"/>
        <v>0.32512971312328764</v>
      </c>
      <c r="AI24" s="44">
        <f t="shared" si="27"/>
        <v>0.10558765065342465</v>
      </c>
      <c r="AJ24" s="44">
        <f t="shared" si="28"/>
        <v>9.7130341068493151E-2</v>
      </c>
      <c r="AK24" s="44">
        <f t="shared" si="29"/>
        <v>4.9647747406679772E-2</v>
      </c>
      <c r="AL24" s="44">
        <f t="shared" si="30"/>
        <v>0.25966091092337917</v>
      </c>
      <c r="AM24" s="44">
        <f t="shared" si="31"/>
        <v>0.34426068184079606</v>
      </c>
      <c r="AN24" s="44">
        <f t="shared" si="32"/>
        <v>0.28514909502487562</v>
      </c>
      <c r="AO24" s="44">
        <f t="shared" si="15"/>
        <v>0.15954541718007978</v>
      </c>
    </row>
    <row r="25" spans="1:41" ht="15.6" x14ac:dyDescent="0.25">
      <c r="A25" s="57"/>
      <c r="B25" s="61" t="s">
        <v>156</v>
      </c>
      <c r="C25" s="74">
        <v>2.980369568</v>
      </c>
      <c r="D25" s="74">
        <v>2.5668330190000002</v>
      </c>
      <c r="E25" s="74">
        <v>1.3194377420000001</v>
      </c>
      <c r="F25" s="74">
        <v>2.5053508280000001</v>
      </c>
      <c r="G25" s="74">
        <v>1.2453597780000001</v>
      </c>
      <c r="H25" s="74">
        <v>0.28444728260000002</v>
      </c>
      <c r="I25" s="74">
        <v>1.9232029909999999</v>
      </c>
      <c r="J25" s="74">
        <v>1.3169671300000001</v>
      </c>
      <c r="K25" s="44">
        <f t="shared" si="12"/>
        <v>1.8749140542818297</v>
      </c>
      <c r="L25" s="44"/>
      <c r="N25">
        <v>0.95</v>
      </c>
      <c r="O25">
        <v>0.95</v>
      </c>
      <c r="P25">
        <v>0.95</v>
      </c>
      <c r="Q25">
        <v>1</v>
      </c>
      <c r="R25">
        <v>1</v>
      </c>
      <c r="S25">
        <v>0.95</v>
      </c>
      <c r="T25">
        <v>1</v>
      </c>
      <c r="U25">
        <v>1</v>
      </c>
      <c r="W25" s="44">
        <f t="shared" si="16"/>
        <v>2.8313510896</v>
      </c>
      <c r="X25" s="44">
        <f t="shared" si="17"/>
        <v>2.4384913680500002</v>
      </c>
      <c r="Y25" s="44">
        <f t="shared" si="18"/>
        <v>1.2534658549</v>
      </c>
      <c r="Z25" s="44">
        <f t="shared" si="19"/>
        <v>2.5053508280000001</v>
      </c>
      <c r="AA25" s="44">
        <f t="shared" si="20"/>
        <v>1.2453597780000001</v>
      </c>
      <c r="AB25" s="44">
        <f t="shared" si="21"/>
        <v>0.27022491847000002</v>
      </c>
      <c r="AC25" s="44">
        <f t="shared" si="22"/>
        <v>1.9232029909999999</v>
      </c>
      <c r="AD25" s="44">
        <f t="shared" si="23"/>
        <v>1.3169671300000001</v>
      </c>
      <c r="AF25" s="61" t="str">
        <f t="shared" si="24"/>
        <v>P17</v>
      </c>
      <c r="AG25" s="44">
        <f t="shared" si="25"/>
        <v>0.3878563136438356</v>
      </c>
      <c r="AH25" s="44">
        <f t="shared" si="26"/>
        <v>0.33403991343150691</v>
      </c>
      <c r="AI25" s="44">
        <f t="shared" si="27"/>
        <v>0.17170765135616439</v>
      </c>
      <c r="AJ25" s="44">
        <f t="shared" si="28"/>
        <v>0.34319874356164387</v>
      </c>
      <c r="AK25" s="44">
        <f t="shared" si="29"/>
        <v>0.24466793280943028</v>
      </c>
      <c r="AL25" s="44">
        <f t="shared" si="30"/>
        <v>5.3089374944990185E-2</v>
      </c>
      <c r="AM25" s="44">
        <f t="shared" si="31"/>
        <v>0.47840870422885573</v>
      </c>
      <c r="AN25" s="44">
        <f t="shared" si="32"/>
        <v>0.32760376368159211</v>
      </c>
      <c r="AO25" s="44">
        <f t="shared" si="15"/>
        <v>0.29131753008594108</v>
      </c>
    </row>
    <row r="26" spans="1:41" ht="15.6" x14ac:dyDescent="0.25">
      <c r="A26" s="60"/>
      <c r="B26" s="62" t="s">
        <v>157</v>
      </c>
      <c r="C26" s="74">
        <v>0.76124018429999996</v>
      </c>
      <c r="D26" s="74">
        <v>1.6400483850000001</v>
      </c>
      <c r="E26" s="74">
        <v>0.66478735209999995</v>
      </c>
      <c r="F26" s="74">
        <v>2.1730461120000002</v>
      </c>
      <c r="G26" s="74">
        <v>0.75909399990000004</v>
      </c>
      <c r="H26" s="74">
        <v>0.49791276449999999</v>
      </c>
      <c r="I26" s="74">
        <v>1.643295527</v>
      </c>
      <c r="J26" s="74">
        <v>0.68985438349999995</v>
      </c>
      <c r="K26" s="44">
        <f t="shared" si="12"/>
        <v>1.278677858709276</v>
      </c>
      <c r="L26" s="58"/>
      <c r="N26">
        <v>0.95</v>
      </c>
      <c r="O26">
        <v>0.95</v>
      </c>
      <c r="P26">
        <v>0.95</v>
      </c>
      <c r="Q26">
        <v>1</v>
      </c>
      <c r="R26">
        <v>1</v>
      </c>
      <c r="S26">
        <v>0.95</v>
      </c>
      <c r="T26">
        <v>1</v>
      </c>
      <c r="U26">
        <v>1</v>
      </c>
      <c r="W26" s="44">
        <f t="shared" si="16"/>
        <v>0.72317817508499993</v>
      </c>
      <c r="X26" s="44">
        <f t="shared" si="17"/>
        <v>1.5580459657499999</v>
      </c>
      <c r="Y26" s="44">
        <f t="shared" si="18"/>
        <v>0.63154798449499994</v>
      </c>
      <c r="Z26" s="44">
        <f t="shared" si="19"/>
        <v>2.1730461120000002</v>
      </c>
      <c r="AA26" s="44">
        <f t="shared" si="20"/>
        <v>0.75909399990000004</v>
      </c>
      <c r="AB26" s="44">
        <f t="shared" si="21"/>
        <v>0.47301712627499998</v>
      </c>
      <c r="AC26" s="44">
        <f t="shared" si="22"/>
        <v>1.643295527</v>
      </c>
      <c r="AD26" s="44">
        <f t="shared" si="23"/>
        <v>0.68985438349999995</v>
      </c>
      <c r="AF26" s="61" t="str">
        <f t="shared" si="24"/>
        <v>P18</v>
      </c>
      <c r="AG26" s="44">
        <f t="shared" si="25"/>
        <v>9.9065503436301369E-2</v>
      </c>
      <c r="AH26" s="44">
        <f t="shared" si="26"/>
        <v>0.21343095421232874</v>
      </c>
      <c r="AI26" s="44">
        <f t="shared" si="27"/>
        <v>8.6513422533561632E-2</v>
      </c>
      <c r="AJ26" s="44">
        <f t="shared" si="28"/>
        <v>0.29767754958904113</v>
      </c>
      <c r="AK26" s="44">
        <f t="shared" si="29"/>
        <v>0.14913438111984284</v>
      </c>
      <c r="AL26" s="44">
        <f t="shared" si="30"/>
        <v>9.2930673138506878E-2</v>
      </c>
      <c r="AM26" s="44">
        <f t="shared" si="31"/>
        <v>0.40877998184079606</v>
      </c>
      <c r="AN26" s="44">
        <f t="shared" si="32"/>
        <v>0.17160556803482588</v>
      </c>
      <c r="AO26" s="44">
        <f t="shared" si="15"/>
        <v>0.20114536900992599</v>
      </c>
    </row>
    <row r="27" spans="1:41" ht="15.6" x14ac:dyDescent="0.25">
      <c r="A27" s="57"/>
      <c r="B27" s="61" t="s">
        <v>158</v>
      </c>
      <c r="C27" s="74">
        <v>0.4820287526</v>
      </c>
      <c r="D27" s="74">
        <v>1.40131402</v>
      </c>
      <c r="E27" s="74">
        <v>0.64067310089999996</v>
      </c>
      <c r="F27" s="74">
        <v>1.850353122</v>
      </c>
      <c r="G27" s="74">
        <v>0.63255184890000005</v>
      </c>
      <c r="H27" s="74">
        <v>0.19719544050000001</v>
      </c>
      <c r="I27" s="74">
        <v>1.2470173840000001</v>
      </c>
      <c r="J27" s="74">
        <v>0.21381460129999999</v>
      </c>
      <c r="K27" s="44">
        <f t="shared" si="12"/>
        <v>1.0324295538293522</v>
      </c>
      <c r="L27" s="44"/>
      <c r="N27">
        <v>0.95</v>
      </c>
      <c r="O27">
        <v>0.95</v>
      </c>
      <c r="P27">
        <v>0.95</v>
      </c>
      <c r="Q27">
        <v>1</v>
      </c>
      <c r="R27">
        <v>1</v>
      </c>
      <c r="S27">
        <v>0.95</v>
      </c>
      <c r="T27">
        <v>1</v>
      </c>
      <c r="U27">
        <v>1</v>
      </c>
      <c r="W27" s="44">
        <f t="shared" si="16"/>
        <v>0.45792731497</v>
      </c>
      <c r="X27" s="44">
        <f t="shared" si="17"/>
        <v>1.331248319</v>
      </c>
      <c r="Y27" s="44">
        <f t="shared" si="18"/>
        <v>0.60863944585499996</v>
      </c>
      <c r="Z27" s="44">
        <f t="shared" si="19"/>
        <v>1.850353122</v>
      </c>
      <c r="AA27" s="44">
        <f t="shared" si="20"/>
        <v>0.63255184890000005</v>
      </c>
      <c r="AB27" s="44">
        <f t="shared" si="21"/>
        <v>0.18733566847499999</v>
      </c>
      <c r="AC27" s="44">
        <f t="shared" si="22"/>
        <v>1.2470173840000001</v>
      </c>
      <c r="AD27" s="44">
        <f t="shared" si="23"/>
        <v>0.21381460129999999</v>
      </c>
      <c r="AF27" s="61" t="str">
        <f t="shared" si="24"/>
        <v>P19</v>
      </c>
      <c r="AG27" s="44">
        <f t="shared" si="25"/>
        <v>6.2729769173972605E-2</v>
      </c>
      <c r="AH27" s="44">
        <f t="shared" si="26"/>
        <v>0.18236278342465753</v>
      </c>
      <c r="AI27" s="44">
        <f t="shared" si="27"/>
        <v>8.3375266555479444E-2</v>
      </c>
      <c r="AJ27" s="44">
        <f t="shared" si="28"/>
        <v>0.25347303041095892</v>
      </c>
      <c r="AK27" s="44">
        <f t="shared" si="29"/>
        <v>0.12427344772102163</v>
      </c>
      <c r="AL27" s="44">
        <f t="shared" si="30"/>
        <v>3.6804649995088409E-2</v>
      </c>
      <c r="AM27" s="44">
        <f t="shared" si="31"/>
        <v>0.31020332935323386</v>
      </c>
      <c r="AN27" s="44">
        <f t="shared" si="32"/>
        <v>5.3187711766169155E-2</v>
      </c>
      <c r="AO27" s="44">
        <f t="shared" si="15"/>
        <v>0.15820296973443046</v>
      </c>
    </row>
    <row r="28" spans="1:41" ht="15.6" x14ac:dyDescent="0.25">
      <c r="A28" s="60"/>
      <c r="B28" s="62" t="s">
        <v>159</v>
      </c>
      <c r="C28" s="74">
        <v>0.1180421114</v>
      </c>
      <c r="D28" s="74">
        <v>1.309864044</v>
      </c>
      <c r="E28" s="74">
        <v>0.33694428209999999</v>
      </c>
      <c r="F28" s="74">
        <v>0.48637437820000001</v>
      </c>
      <c r="G28" s="74">
        <v>0.26349753139999998</v>
      </c>
      <c r="H28" s="74">
        <v>0.19426469499999999</v>
      </c>
      <c r="I28" s="74">
        <v>2.3125448230000001</v>
      </c>
      <c r="J28" s="74">
        <v>1.5913696289999999</v>
      </c>
      <c r="K28" s="44">
        <f t="shared" si="12"/>
        <v>0.68636532742795442</v>
      </c>
      <c r="L28" s="58"/>
      <c r="N28">
        <v>0.95</v>
      </c>
      <c r="O28">
        <v>0.95</v>
      </c>
      <c r="P28">
        <v>0.95</v>
      </c>
      <c r="Q28">
        <v>1</v>
      </c>
      <c r="R28">
        <v>1</v>
      </c>
      <c r="S28">
        <v>0.95</v>
      </c>
      <c r="T28">
        <v>1</v>
      </c>
      <c r="U28">
        <v>1</v>
      </c>
      <c r="W28" s="44">
        <f t="shared" si="16"/>
        <v>0.11214000582999999</v>
      </c>
      <c r="X28" s="44">
        <f t="shared" si="17"/>
        <v>1.2443708417999999</v>
      </c>
      <c r="Y28" s="44">
        <f t="shared" si="18"/>
        <v>0.32009706799499998</v>
      </c>
      <c r="Z28" s="44">
        <f t="shared" si="19"/>
        <v>0.48637437820000001</v>
      </c>
      <c r="AA28" s="44">
        <f t="shared" si="20"/>
        <v>0.26349753139999998</v>
      </c>
      <c r="AB28" s="44">
        <f t="shared" si="21"/>
        <v>0.18455146024999997</v>
      </c>
      <c r="AC28" s="44">
        <f t="shared" si="22"/>
        <v>2.3125448230000001</v>
      </c>
      <c r="AD28" s="44">
        <f t="shared" si="23"/>
        <v>1.5913696289999999</v>
      </c>
      <c r="AF28" s="61" t="str">
        <f t="shared" si="24"/>
        <v>P20</v>
      </c>
      <c r="AG28" s="44">
        <f t="shared" si="25"/>
        <v>1.5361644634246574E-2</v>
      </c>
      <c r="AH28" s="44">
        <f t="shared" si="26"/>
        <v>0.17046175915068493</v>
      </c>
      <c r="AI28" s="44">
        <f t="shared" si="27"/>
        <v>4.3848913423972603E-2</v>
      </c>
      <c r="AJ28" s="44">
        <f t="shared" si="28"/>
        <v>6.6626627150684931E-2</v>
      </c>
      <c r="AK28" s="44">
        <f t="shared" si="29"/>
        <v>5.17676878978389E-2</v>
      </c>
      <c r="AL28" s="44">
        <f t="shared" si="30"/>
        <v>3.6257654273084472E-2</v>
      </c>
      <c r="AM28" s="44">
        <f t="shared" si="31"/>
        <v>0.57525990621890555</v>
      </c>
      <c r="AN28" s="44">
        <f t="shared" si="32"/>
        <v>0.39586309179104479</v>
      </c>
      <c r="AO28" s="44">
        <f t="shared" si="15"/>
        <v>0.12924002368586882</v>
      </c>
    </row>
    <row r="29" spans="1:41" ht="15.6" x14ac:dyDescent="0.25">
      <c r="A29" s="57"/>
      <c r="B29" s="61" t="s">
        <v>160</v>
      </c>
      <c r="C29" s="74">
        <v>1.494793415</v>
      </c>
      <c r="D29" s="74">
        <v>0.90565514560000004</v>
      </c>
      <c r="E29" s="74">
        <v>1.5978074069999999</v>
      </c>
      <c r="F29" s="74">
        <v>1.713981271</v>
      </c>
      <c r="G29" s="74">
        <v>1.7046090359999999</v>
      </c>
      <c r="H29" s="74">
        <v>1.3951833250000001</v>
      </c>
      <c r="I29" s="74">
        <v>1.936748862</v>
      </c>
      <c r="J29" s="74">
        <v>1.5925238129999999</v>
      </c>
      <c r="K29" s="44">
        <f t="shared" si="12"/>
        <v>1.5839195247364679</v>
      </c>
      <c r="L29" s="44"/>
      <c r="N29">
        <v>0.95</v>
      </c>
      <c r="O29">
        <v>0.95</v>
      </c>
      <c r="P29">
        <v>0.95</v>
      </c>
      <c r="Q29">
        <v>1</v>
      </c>
      <c r="R29">
        <v>1</v>
      </c>
      <c r="S29">
        <v>0.95</v>
      </c>
      <c r="T29">
        <v>1</v>
      </c>
      <c r="U29">
        <v>1</v>
      </c>
      <c r="W29" s="44">
        <f t="shared" si="16"/>
        <v>1.4200537442499999</v>
      </c>
      <c r="X29" s="44">
        <f t="shared" si="17"/>
        <v>0.86037238831999996</v>
      </c>
      <c r="Y29" s="44">
        <f t="shared" si="18"/>
        <v>1.5179170366499999</v>
      </c>
      <c r="Z29" s="44">
        <f t="shared" si="19"/>
        <v>1.713981271</v>
      </c>
      <c r="AA29" s="44">
        <f t="shared" si="20"/>
        <v>1.7046090359999999</v>
      </c>
      <c r="AB29" s="44">
        <f t="shared" si="21"/>
        <v>1.32542415875</v>
      </c>
      <c r="AC29" s="44">
        <f t="shared" si="22"/>
        <v>1.936748862</v>
      </c>
      <c r="AD29" s="44">
        <f t="shared" si="23"/>
        <v>1.5925238129999999</v>
      </c>
      <c r="AF29" s="61" t="str">
        <f t="shared" si="24"/>
        <v>P21</v>
      </c>
      <c r="AG29" s="44">
        <f t="shared" si="25"/>
        <v>0.19452791017123286</v>
      </c>
      <c r="AH29" s="44">
        <f t="shared" si="26"/>
        <v>0.11785923127671233</v>
      </c>
      <c r="AI29" s="44">
        <f t="shared" si="27"/>
        <v>0.20793384063698628</v>
      </c>
      <c r="AJ29" s="44">
        <f t="shared" si="28"/>
        <v>0.23479195493150684</v>
      </c>
      <c r="AK29" s="44">
        <f t="shared" si="29"/>
        <v>0.33489372023575636</v>
      </c>
      <c r="AL29" s="44">
        <f t="shared" si="30"/>
        <v>0.26039767362475441</v>
      </c>
      <c r="AM29" s="44">
        <f t="shared" si="31"/>
        <v>0.48177832388059705</v>
      </c>
      <c r="AN29" s="44">
        <f t="shared" si="32"/>
        <v>0.39615020223880598</v>
      </c>
      <c r="AO29" s="44">
        <f t="shared" si="15"/>
        <v>0.26299851246151207</v>
      </c>
    </row>
    <row r="30" spans="1:41" ht="15.6" x14ac:dyDescent="0.25">
      <c r="A30" s="60"/>
      <c r="B30" s="62" t="s">
        <v>161</v>
      </c>
      <c r="C30" s="74">
        <v>1.8100039960000001</v>
      </c>
      <c r="D30" s="74">
        <v>1.0764107700000001</v>
      </c>
      <c r="E30" s="74">
        <v>1.461822867</v>
      </c>
      <c r="F30" s="74">
        <v>1.306949615</v>
      </c>
      <c r="G30" s="74">
        <v>1.5389500860000001</v>
      </c>
      <c r="H30" s="74">
        <v>1.523732901</v>
      </c>
      <c r="I30" s="74">
        <v>0.72372949119999996</v>
      </c>
      <c r="J30" s="74">
        <v>0.5398932099</v>
      </c>
      <c r="K30" s="44">
        <f t="shared" si="12"/>
        <v>1.2950985491340536</v>
      </c>
      <c r="L30" s="58"/>
      <c r="N30">
        <v>0.95</v>
      </c>
      <c r="O30">
        <v>0.95</v>
      </c>
      <c r="P30">
        <v>0.95</v>
      </c>
      <c r="Q30">
        <v>1</v>
      </c>
      <c r="R30">
        <v>1</v>
      </c>
      <c r="S30">
        <v>0.95</v>
      </c>
      <c r="T30">
        <v>1</v>
      </c>
      <c r="U30">
        <v>1</v>
      </c>
      <c r="W30" s="44">
        <f t="shared" si="16"/>
        <v>1.7195037961999999</v>
      </c>
      <c r="X30" s="44">
        <f t="shared" si="17"/>
        <v>1.0225902314999999</v>
      </c>
      <c r="Y30" s="44">
        <f t="shared" si="18"/>
        <v>1.3887317236499999</v>
      </c>
      <c r="Z30" s="44">
        <f t="shared" si="19"/>
        <v>1.306949615</v>
      </c>
      <c r="AA30" s="44">
        <f t="shared" si="20"/>
        <v>1.5389500860000001</v>
      </c>
      <c r="AB30" s="44">
        <f t="shared" si="21"/>
        <v>1.4475462559499999</v>
      </c>
      <c r="AC30" s="44">
        <f t="shared" si="22"/>
        <v>0.72372949119999996</v>
      </c>
      <c r="AD30" s="44">
        <f t="shared" si="23"/>
        <v>0.5398932099</v>
      </c>
      <c r="AF30" s="61" t="str">
        <f t="shared" si="24"/>
        <v>P22</v>
      </c>
      <c r="AG30" s="44">
        <f t="shared" si="25"/>
        <v>0.2355484652328767</v>
      </c>
      <c r="AH30" s="44">
        <f t="shared" si="26"/>
        <v>0.14008085363013698</v>
      </c>
      <c r="AI30" s="44">
        <f t="shared" si="27"/>
        <v>0.19023722241780822</v>
      </c>
      <c r="AJ30" s="44">
        <f t="shared" si="28"/>
        <v>0.17903419383561645</v>
      </c>
      <c r="AK30" s="44">
        <f t="shared" si="29"/>
        <v>0.30234775756385068</v>
      </c>
      <c r="AL30" s="44">
        <f t="shared" si="30"/>
        <v>0.28439022710216111</v>
      </c>
      <c r="AM30" s="44">
        <f t="shared" si="31"/>
        <v>0.18003221174129355</v>
      </c>
      <c r="AN30" s="44">
        <f t="shared" si="32"/>
        <v>0.13430179350746271</v>
      </c>
      <c r="AO30" s="44">
        <f t="shared" si="15"/>
        <v>0.2028584397427004</v>
      </c>
    </row>
    <row r="31" spans="1:41" ht="15.6" x14ac:dyDescent="0.25">
      <c r="A31" s="57"/>
      <c r="B31" s="61" t="s">
        <v>162</v>
      </c>
      <c r="C31" s="74">
        <v>1.0975517029999999</v>
      </c>
      <c r="D31" s="74">
        <v>1.354581118</v>
      </c>
      <c r="E31" s="74">
        <v>1.4294319150000001</v>
      </c>
      <c r="F31" s="74">
        <v>0.38982903959999998</v>
      </c>
      <c r="G31" s="74">
        <v>1.140497804</v>
      </c>
      <c r="H31" s="74">
        <v>1.0556613210000001</v>
      </c>
      <c r="I31" s="74">
        <v>1.0219206810000001</v>
      </c>
      <c r="J31" s="74">
        <v>0.87610620260000005</v>
      </c>
      <c r="K31" s="44">
        <f t="shared" si="12"/>
        <v>0.95975282756467617</v>
      </c>
      <c r="L31" s="44"/>
      <c r="N31">
        <v>0.95</v>
      </c>
      <c r="O31">
        <v>0.95</v>
      </c>
      <c r="P31">
        <v>0.95</v>
      </c>
      <c r="Q31">
        <v>1</v>
      </c>
      <c r="R31">
        <v>1</v>
      </c>
      <c r="S31">
        <v>0.95</v>
      </c>
      <c r="T31">
        <v>1</v>
      </c>
      <c r="U31">
        <v>1</v>
      </c>
      <c r="W31" s="44">
        <f t="shared" si="16"/>
        <v>1.0426741178499999</v>
      </c>
      <c r="X31" s="44">
        <f t="shared" si="17"/>
        <v>1.2868520620999999</v>
      </c>
      <c r="Y31" s="44">
        <f t="shared" si="18"/>
        <v>1.35796031925</v>
      </c>
      <c r="Z31" s="44">
        <f t="shared" si="19"/>
        <v>0.38982903959999998</v>
      </c>
      <c r="AA31" s="44">
        <f t="shared" si="20"/>
        <v>1.140497804</v>
      </c>
      <c r="AB31" s="44">
        <f t="shared" si="21"/>
        <v>1.0028782549499999</v>
      </c>
      <c r="AC31" s="44">
        <f t="shared" si="22"/>
        <v>1.0219206810000001</v>
      </c>
      <c r="AD31" s="44">
        <f t="shared" si="23"/>
        <v>0.87610620260000005</v>
      </c>
      <c r="AF31" s="61" t="str">
        <f t="shared" si="24"/>
        <v>P23</v>
      </c>
      <c r="AG31" s="44">
        <f t="shared" si="25"/>
        <v>0.14283207093835615</v>
      </c>
      <c r="AH31" s="44">
        <f t="shared" si="26"/>
        <v>0.17628110439726027</v>
      </c>
      <c r="AI31" s="44">
        <f t="shared" si="27"/>
        <v>0.1860219615410959</v>
      </c>
      <c r="AJ31" s="44">
        <f t="shared" si="28"/>
        <v>5.3401238301369863E-2</v>
      </c>
      <c r="AK31" s="44">
        <f t="shared" si="29"/>
        <v>0.22406636620825149</v>
      </c>
      <c r="AL31" s="44">
        <f t="shared" si="30"/>
        <v>0.19702912670923378</v>
      </c>
      <c r="AM31" s="44">
        <f t="shared" si="31"/>
        <v>0.25420912462686573</v>
      </c>
      <c r="AN31" s="44">
        <f t="shared" si="32"/>
        <v>0.217936866318408</v>
      </c>
      <c r="AO31" s="44">
        <f t="shared" si="15"/>
        <v>0.1576894850055276</v>
      </c>
    </row>
    <row r="32" spans="1:41" ht="15.6" x14ac:dyDescent="0.25">
      <c r="A32" s="60"/>
      <c r="B32" s="62" t="s">
        <v>163</v>
      </c>
      <c r="C32" s="74">
        <v>0.94693577289999997</v>
      </c>
      <c r="D32" s="74">
        <v>1.4903743270000001</v>
      </c>
      <c r="E32" s="74">
        <v>1.2697384359999999</v>
      </c>
      <c r="F32" s="74">
        <v>0.37470391390000002</v>
      </c>
      <c r="G32" s="74">
        <v>0.85963821409999996</v>
      </c>
      <c r="H32" s="74">
        <v>0.68021756410000001</v>
      </c>
      <c r="I32" s="74">
        <v>1.1473675969999999</v>
      </c>
      <c r="J32" s="74">
        <v>0.93374723199999998</v>
      </c>
      <c r="K32" s="44">
        <f t="shared" si="12"/>
        <v>0.87776689076340531</v>
      </c>
      <c r="L32" s="58"/>
      <c r="N32">
        <v>0.95</v>
      </c>
      <c r="O32">
        <v>0.95</v>
      </c>
      <c r="P32">
        <v>0.95</v>
      </c>
      <c r="Q32">
        <v>1</v>
      </c>
      <c r="R32">
        <v>1</v>
      </c>
      <c r="S32">
        <v>0.95</v>
      </c>
      <c r="T32">
        <v>1</v>
      </c>
      <c r="U32">
        <v>1</v>
      </c>
      <c r="W32" s="44">
        <f t="shared" si="16"/>
        <v>0.89958898425499989</v>
      </c>
      <c r="X32" s="44">
        <f t="shared" si="17"/>
        <v>1.41585561065</v>
      </c>
      <c r="Y32" s="44">
        <f t="shared" si="18"/>
        <v>1.2062515141999999</v>
      </c>
      <c r="Z32" s="44">
        <f t="shared" si="19"/>
        <v>0.37470391390000002</v>
      </c>
      <c r="AA32" s="44">
        <f t="shared" si="20"/>
        <v>0.85963821409999996</v>
      </c>
      <c r="AB32" s="44">
        <f t="shared" si="21"/>
        <v>0.64620668589499997</v>
      </c>
      <c r="AC32" s="44">
        <f t="shared" si="22"/>
        <v>1.1473675969999999</v>
      </c>
      <c r="AD32" s="44">
        <f t="shared" si="23"/>
        <v>0.93374723199999998</v>
      </c>
      <c r="AF32" s="61" t="str">
        <f t="shared" si="24"/>
        <v>P24</v>
      </c>
      <c r="AG32" s="44">
        <f t="shared" si="25"/>
        <v>0.12323136770616437</v>
      </c>
      <c r="AH32" s="44">
        <f t="shared" si="26"/>
        <v>0.19395282337671232</v>
      </c>
      <c r="AI32" s="44">
        <f t="shared" si="27"/>
        <v>0.16523993345205479</v>
      </c>
      <c r="AJ32" s="44">
        <f t="shared" si="28"/>
        <v>5.1329303273972608E-2</v>
      </c>
      <c r="AK32" s="44">
        <f t="shared" si="29"/>
        <v>0.16888766485265225</v>
      </c>
      <c r="AL32" s="44">
        <f t="shared" si="30"/>
        <v>0.12695612689489194</v>
      </c>
      <c r="AM32" s="44">
        <f t="shared" si="31"/>
        <v>0.2854148251243781</v>
      </c>
      <c r="AN32" s="44">
        <f t="shared" si="32"/>
        <v>0.23227543084577115</v>
      </c>
      <c r="AO32" s="44">
        <f t="shared" si="15"/>
        <v>0.14461929736762807</v>
      </c>
    </row>
    <row r="33" spans="1:42" ht="15.6" x14ac:dyDescent="0.25">
      <c r="A33" s="57"/>
      <c r="B33" s="61" t="s">
        <v>164</v>
      </c>
      <c r="C33" s="74">
        <v>1.803154111</v>
      </c>
      <c r="D33" s="74">
        <v>1.8888510469999999</v>
      </c>
      <c r="E33" s="74">
        <v>1.431214094</v>
      </c>
      <c r="F33" s="74">
        <v>0.2116975039</v>
      </c>
      <c r="G33" s="74">
        <v>0.93995195629999995</v>
      </c>
      <c r="H33" s="74">
        <v>0.38123595710000002</v>
      </c>
      <c r="I33" s="74">
        <v>1.507619381</v>
      </c>
      <c r="J33" s="74">
        <v>1.3021984099999999</v>
      </c>
      <c r="K33" s="44">
        <f t="shared" si="12"/>
        <v>1.0119304606964421</v>
      </c>
      <c r="L33" s="44"/>
      <c r="N33">
        <v>0.95</v>
      </c>
      <c r="O33">
        <v>0.95</v>
      </c>
      <c r="P33">
        <v>0.95</v>
      </c>
      <c r="Q33">
        <v>1</v>
      </c>
      <c r="R33">
        <v>1</v>
      </c>
      <c r="S33">
        <v>0.95</v>
      </c>
      <c r="T33">
        <v>1</v>
      </c>
      <c r="U33">
        <v>1</v>
      </c>
      <c r="W33" s="44">
        <f t="shared" si="16"/>
        <v>1.71299640545</v>
      </c>
      <c r="X33" s="44">
        <f t="shared" si="17"/>
        <v>1.7944084946499999</v>
      </c>
      <c r="Y33" s="44">
        <f t="shared" si="18"/>
        <v>1.3596533893</v>
      </c>
      <c r="Z33" s="44">
        <f t="shared" si="19"/>
        <v>0.2116975039</v>
      </c>
      <c r="AA33" s="44">
        <f t="shared" si="20"/>
        <v>0.93995195629999995</v>
      </c>
      <c r="AB33" s="44">
        <f t="shared" si="21"/>
        <v>0.36217415924500002</v>
      </c>
      <c r="AC33" s="44">
        <f t="shared" si="22"/>
        <v>1.507619381</v>
      </c>
      <c r="AD33" s="44">
        <f t="shared" si="23"/>
        <v>1.3021984099999999</v>
      </c>
      <c r="AF33" s="61" t="str">
        <f t="shared" si="24"/>
        <v>P25</v>
      </c>
      <c r="AG33" s="44">
        <f t="shared" si="25"/>
        <v>0.23465704184246575</v>
      </c>
      <c r="AH33" s="44">
        <f t="shared" si="26"/>
        <v>0.2458093828287671</v>
      </c>
      <c r="AI33" s="44">
        <f t="shared" si="27"/>
        <v>0.18625388894520548</v>
      </c>
      <c r="AJ33" s="44">
        <f t="shared" si="28"/>
        <v>2.899965806849315E-2</v>
      </c>
      <c r="AK33" s="44">
        <f t="shared" si="29"/>
        <v>0.18466639612966601</v>
      </c>
      <c r="AL33" s="44">
        <f t="shared" si="30"/>
        <v>7.1154058790766209E-2</v>
      </c>
      <c r="AM33" s="44">
        <f t="shared" si="31"/>
        <v>0.37502969676616921</v>
      </c>
      <c r="AN33" s="44">
        <f t="shared" si="32"/>
        <v>0.32392995273631842</v>
      </c>
      <c r="AO33" s="44">
        <f t="shared" si="15"/>
        <v>0.16801639601317062</v>
      </c>
    </row>
    <row r="34" spans="1:42" ht="15.6" x14ac:dyDescent="0.25">
      <c r="A34" s="60"/>
      <c r="B34" s="62" t="s">
        <v>165</v>
      </c>
      <c r="C34" s="74">
        <v>2.6135108470000001</v>
      </c>
      <c r="D34" s="74">
        <v>2.3291947839999998</v>
      </c>
      <c r="E34" s="74">
        <v>1.927386284</v>
      </c>
      <c r="F34" s="74">
        <v>0.24662007389999999</v>
      </c>
      <c r="G34" s="74">
        <v>1.032647729</v>
      </c>
      <c r="H34" s="74">
        <v>0.30274894829999999</v>
      </c>
      <c r="I34" s="74">
        <v>2.018828869</v>
      </c>
      <c r="J34" s="74">
        <v>1.793810844</v>
      </c>
      <c r="K34" s="44">
        <f t="shared" si="12"/>
        <v>1.3004299663168999</v>
      </c>
      <c r="L34" s="58"/>
      <c r="N34">
        <v>0.95</v>
      </c>
      <c r="O34">
        <v>0.95</v>
      </c>
      <c r="P34">
        <v>0.95</v>
      </c>
      <c r="Q34">
        <v>1</v>
      </c>
      <c r="R34">
        <v>1</v>
      </c>
      <c r="S34">
        <v>0.95</v>
      </c>
      <c r="T34">
        <v>1</v>
      </c>
      <c r="U34">
        <v>1</v>
      </c>
      <c r="W34" s="44">
        <f t="shared" si="16"/>
        <v>2.48283530465</v>
      </c>
      <c r="X34" s="44">
        <f t="shared" si="17"/>
        <v>2.2127350447999996</v>
      </c>
      <c r="Y34" s="44">
        <f t="shared" si="18"/>
        <v>1.8310169697999998</v>
      </c>
      <c r="Z34" s="44">
        <f t="shared" si="19"/>
        <v>0.24662007389999999</v>
      </c>
      <c r="AA34" s="44">
        <f t="shared" si="20"/>
        <v>1.032647729</v>
      </c>
      <c r="AB34" s="44">
        <f t="shared" si="21"/>
        <v>0.28761150088499998</v>
      </c>
      <c r="AC34" s="44">
        <f t="shared" si="22"/>
        <v>2.018828869</v>
      </c>
      <c r="AD34" s="44">
        <f t="shared" si="23"/>
        <v>1.793810844</v>
      </c>
      <c r="AF34" s="61" t="str">
        <f t="shared" si="24"/>
        <v>P26</v>
      </c>
      <c r="AG34" s="44">
        <f t="shared" si="25"/>
        <v>0.34011442529452057</v>
      </c>
      <c r="AH34" s="44">
        <f t="shared" si="26"/>
        <v>0.30311438969863008</v>
      </c>
      <c r="AI34" s="44">
        <f t="shared" si="27"/>
        <v>0.25082424243835616</v>
      </c>
      <c r="AJ34" s="44">
        <f t="shared" si="28"/>
        <v>3.3783571767123287E-2</v>
      </c>
      <c r="AK34" s="44">
        <f t="shared" si="29"/>
        <v>0.20287774636542241</v>
      </c>
      <c r="AL34" s="44">
        <f t="shared" si="30"/>
        <v>5.6505206460707266E-2</v>
      </c>
      <c r="AM34" s="44">
        <f t="shared" si="31"/>
        <v>0.5021962360696518</v>
      </c>
      <c r="AN34" s="44">
        <f t="shared" si="32"/>
        <v>0.44622160298507468</v>
      </c>
      <c r="AO34" s="44">
        <f t="shared" si="15"/>
        <v>0.21534665584555457</v>
      </c>
    </row>
    <row r="35" spans="1:42" ht="15.6" x14ac:dyDescent="0.25">
      <c r="A35" s="57"/>
      <c r="B35" s="61" t="s">
        <v>166</v>
      </c>
      <c r="C35" s="74">
        <v>2.4679589270000002</v>
      </c>
      <c r="D35" s="74">
        <v>2.0844991209999999</v>
      </c>
      <c r="E35" s="74">
        <v>1.610439301</v>
      </c>
      <c r="F35" s="74">
        <v>0.2341192067</v>
      </c>
      <c r="G35" s="74">
        <v>0.99192303420000005</v>
      </c>
      <c r="H35" s="74">
        <v>0.82544755940000003</v>
      </c>
      <c r="I35" s="74">
        <v>2.7404816150000002</v>
      </c>
      <c r="J35" s="74">
        <v>2.3788106440000001</v>
      </c>
      <c r="K35" s="44">
        <f t="shared" si="12"/>
        <v>1.335727594613596</v>
      </c>
      <c r="L35" s="44"/>
      <c r="N35">
        <v>0.95</v>
      </c>
      <c r="O35">
        <v>0.95</v>
      </c>
      <c r="P35">
        <v>0.95</v>
      </c>
      <c r="Q35">
        <v>1</v>
      </c>
      <c r="R35">
        <v>1</v>
      </c>
      <c r="S35">
        <v>0.95</v>
      </c>
      <c r="T35">
        <v>1</v>
      </c>
      <c r="U35">
        <v>1</v>
      </c>
      <c r="W35" s="44">
        <f t="shared" si="16"/>
        <v>2.3445609806500003</v>
      </c>
      <c r="X35" s="44">
        <f t="shared" si="17"/>
        <v>1.9802741649499997</v>
      </c>
      <c r="Y35" s="44">
        <f t="shared" si="18"/>
        <v>1.52991733595</v>
      </c>
      <c r="Z35" s="44">
        <f t="shared" si="19"/>
        <v>0.2341192067</v>
      </c>
      <c r="AA35" s="44">
        <f t="shared" si="20"/>
        <v>0.99192303420000005</v>
      </c>
      <c r="AB35" s="44">
        <f t="shared" si="21"/>
        <v>0.78417518142999998</v>
      </c>
      <c r="AC35" s="44">
        <f t="shared" si="22"/>
        <v>2.7404816150000002</v>
      </c>
      <c r="AD35" s="44">
        <f t="shared" si="23"/>
        <v>2.3788106440000001</v>
      </c>
      <c r="AF35" s="61" t="str">
        <f t="shared" si="24"/>
        <v>P27</v>
      </c>
      <c r="AG35" s="44">
        <f t="shared" si="25"/>
        <v>0.3211727370753425</v>
      </c>
      <c r="AH35" s="44">
        <f t="shared" si="26"/>
        <v>0.27127043355479447</v>
      </c>
      <c r="AI35" s="44">
        <f t="shared" si="27"/>
        <v>0.20957771725342467</v>
      </c>
      <c r="AJ35" s="44">
        <f t="shared" si="28"/>
        <v>3.2071124205479452E-2</v>
      </c>
      <c r="AK35" s="44">
        <f t="shared" si="29"/>
        <v>0.19487682400785855</v>
      </c>
      <c r="AL35" s="44">
        <f t="shared" si="30"/>
        <v>0.15406192169548133</v>
      </c>
      <c r="AM35" s="44">
        <f t="shared" si="31"/>
        <v>0.68171184452736333</v>
      </c>
      <c r="AN35" s="44">
        <f t="shared" si="32"/>
        <v>0.59174394129353247</v>
      </c>
      <c r="AO35" s="44">
        <f t="shared" si="15"/>
        <v>0.23346964356444774</v>
      </c>
    </row>
    <row r="36" spans="1:42" ht="15.6" x14ac:dyDescent="0.25">
      <c r="A36" s="60"/>
      <c r="B36" s="62" t="s">
        <v>167</v>
      </c>
      <c r="C36" s="74">
        <v>1.0916372539999999</v>
      </c>
      <c r="D36" s="74">
        <v>0.65474712850000005</v>
      </c>
      <c r="E36" s="74">
        <v>1.3504248860000001</v>
      </c>
      <c r="F36" s="74">
        <v>0.24168989060000001</v>
      </c>
      <c r="G36" s="74">
        <v>1.009171963</v>
      </c>
      <c r="H36" s="74">
        <v>0.59872120620000002</v>
      </c>
      <c r="I36" s="74">
        <v>0.62802600860000002</v>
      </c>
      <c r="J36" s="74">
        <v>0.70547705890000001</v>
      </c>
      <c r="K36" s="44">
        <f t="shared" si="12"/>
        <v>0.74218733737598486</v>
      </c>
      <c r="L36" s="58"/>
      <c r="N36">
        <v>0.95</v>
      </c>
      <c r="O36">
        <v>0.95</v>
      </c>
      <c r="P36">
        <v>0.95</v>
      </c>
      <c r="Q36">
        <v>1</v>
      </c>
      <c r="R36">
        <v>1</v>
      </c>
      <c r="S36">
        <v>0.95</v>
      </c>
      <c r="T36">
        <v>1</v>
      </c>
      <c r="U36">
        <v>1</v>
      </c>
      <c r="W36" s="44">
        <f t="shared" si="16"/>
        <v>1.0370553912999998</v>
      </c>
      <c r="X36" s="44">
        <f t="shared" si="17"/>
        <v>0.62200977207499997</v>
      </c>
      <c r="Y36" s="44">
        <f t="shared" si="18"/>
        <v>1.2829036416999999</v>
      </c>
      <c r="Z36" s="44">
        <f t="shared" si="19"/>
        <v>0.24168989060000001</v>
      </c>
      <c r="AA36" s="44">
        <f t="shared" si="20"/>
        <v>1.009171963</v>
      </c>
      <c r="AB36" s="44">
        <f t="shared" si="21"/>
        <v>0.56878514588999995</v>
      </c>
      <c r="AC36" s="44">
        <f t="shared" si="22"/>
        <v>0.62802600860000002</v>
      </c>
      <c r="AD36" s="44">
        <f t="shared" si="23"/>
        <v>0.70547705890000001</v>
      </c>
      <c r="AF36" s="61" t="str">
        <f t="shared" si="24"/>
        <v>P28</v>
      </c>
      <c r="AG36" s="44">
        <f t="shared" si="25"/>
        <v>0.14206238236986299</v>
      </c>
      <c r="AH36" s="44">
        <f t="shared" si="26"/>
        <v>8.5206818092465747E-2</v>
      </c>
      <c r="AI36" s="44">
        <f t="shared" si="27"/>
        <v>0.17574022489041094</v>
      </c>
      <c r="AJ36" s="44">
        <f t="shared" si="28"/>
        <v>3.3108204191780823E-2</v>
      </c>
      <c r="AK36" s="44">
        <f t="shared" si="29"/>
        <v>0.19826561159135561</v>
      </c>
      <c r="AL36" s="44">
        <f t="shared" si="30"/>
        <v>0.11174560822986247</v>
      </c>
      <c r="AM36" s="44">
        <f t="shared" si="31"/>
        <v>0.15622537527363187</v>
      </c>
      <c r="AN36" s="44">
        <f t="shared" si="32"/>
        <v>0.17549180569651743</v>
      </c>
      <c r="AO36" s="44">
        <f t="shared" si="15"/>
        <v>0.12092057287583247</v>
      </c>
    </row>
    <row r="37" spans="1:42" ht="15.6" x14ac:dyDescent="0.25">
      <c r="A37" s="57"/>
      <c r="B37" s="61" t="s">
        <v>168</v>
      </c>
      <c r="C37" s="74">
        <v>1.5714946990000001</v>
      </c>
      <c r="D37" s="74">
        <v>1.337313652</v>
      </c>
      <c r="E37" s="74">
        <v>1.1610932350000001</v>
      </c>
      <c r="F37" s="74">
        <v>1.626501322</v>
      </c>
      <c r="G37" s="74">
        <v>0.86367911100000005</v>
      </c>
      <c r="H37" s="74">
        <v>0.93203657870000001</v>
      </c>
      <c r="I37" s="74">
        <v>0.48549672960000001</v>
      </c>
      <c r="J37" s="74">
        <v>0.67909997700000002</v>
      </c>
      <c r="K37" s="44">
        <f t="shared" si="12"/>
        <v>1.1962476244108005</v>
      </c>
      <c r="L37" s="44"/>
      <c r="N37">
        <v>0.95</v>
      </c>
      <c r="O37">
        <v>0.95</v>
      </c>
      <c r="P37">
        <v>0.95</v>
      </c>
      <c r="Q37">
        <v>1</v>
      </c>
      <c r="R37">
        <v>1</v>
      </c>
      <c r="S37">
        <v>0.95</v>
      </c>
      <c r="T37">
        <v>1</v>
      </c>
      <c r="U37">
        <v>1</v>
      </c>
      <c r="W37" s="44">
        <f t="shared" si="16"/>
        <v>1.4929199640499999</v>
      </c>
      <c r="X37" s="44">
        <f t="shared" si="17"/>
        <v>1.2704479693999999</v>
      </c>
      <c r="Y37" s="44">
        <f t="shared" si="18"/>
        <v>1.1030385732500001</v>
      </c>
      <c r="Z37" s="44">
        <f t="shared" si="19"/>
        <v>1.626501322</v>
      </c>
      <c r="AA37" s="44">
        <f t="shared" si="20"/>
        <v>0.86367911100000005</v>
      </c>
      <c r="AB37" s="44">
        <f t="shared" si="21"/>
        <v>0.88543474976499992</v>
      </c>
      <c r="AC37" s="44">
        <f t="shared" si="22"/>
        <v>0.48549672960000001</v>
      </c>
      <c r="AD37" s="44">
        <f t="shared" si="23"/>
        <v>0.67909997700000002</v>
      </c>
      <c r="AF37" s="61" t="str">
        <f t="shared" si="24"/>
        <v>P29</v>
      </c>
      <c r="AG37" s="44">
        <f t="shared" si="25"/>
        <v>0.20450958411643835</v>
      </c>
      <c r="AH37" s="44">
        <f t="shared" si="26"/>
        <v>0.17403396841095889</v>
      </c>
      <c r="AI37" s="44">
        <f t="shared" si="27"/>
        <v>0.15110117441780824</v>
      </c>
      <c r="AJ37" s="44">
        <f t="shared" si="28"/>
        <v>0.22280840027397261</v>
      </c>
      <c r="AK37" s="44">
        <f t="shared" si="29"/>
        <v>0.16968155422396858</v>
      </c>
      <c r="AL37" s="44">
        <f t="shared" si="30"/>
        <v>0.17395574651571707</v>
      </c>
      <c r="AM37" s="44">
        <f t="shared" si="31"/>
        <v>0.12077033074626867</v>
      </c>
      <c r="AN37" s="44">
        <f t="shared" si="32"/>
        <v>0.16893034253731345</v>
      </c>
      <c r="AO37" s="44">
        <f t="shared" si="15"/>
        <v>0.18106312390169796</v>
      </c>
    </row>
    <row r="38" spans="1:42" ht="15.6" x14ac:dyDescent="0.25">
      <c r="A38" s="60"/>
      <c r="B38" s="62" t="s">
        <v>169</v>
      </c>
      <c r="C38" s="74">
        <v>1.2420165540000001</v>
      </c>
      <c r="D38" s="74">
        <v>1.142953873</v>
      </c>
      <c r="E38" s="74">
        <v>1.4708423610000001</v>
      </c>
      <c r="F38" s="74">
        <v>1.8100407119999999</v>
      </c>
      <c r="G38" s="74">
        <v>0.47704058890000001</v>
      </c>
      <c r="H38" s="74">
        <v>0.80897015329999999</v>
      </c>
      <c r="I38" s="74">
        <v>0.45735466479999998</v>
      </c>
      <c r="J38" s="74">
        <v>1.013037443</v>
      </c>
      <c r="K38" s="44">
        <f t="shared" si="12"/>
        <v>1.2195129818670902</v>
      </c>
      <c r="L38" s="58"/>
      <c r="N38">
        <v>0.95</v>
      </c>
      <c r="O38">
        <v>0.95</v>
      </c>
      <c r="P38">
        <v>0.95</v>
      </c>
      <c r="Q38">
        <v>1</v>
      </c>
      <c r="R38">
        <v>1</v>
      </c>
      <c r="S38">
        <v>0.95</v>
      </c>
      <c r="T38">
        <v>1</v>
      </c>
      <c r="U38">
        <v>1</v>
      </c>
      <c r="W38" s="44">
        <f t="shared" si="16"/>
        <v>1.1799157263</v>
      </c>
      <c r="X38" s="44">
        <f t="shared" si="17"/>
        <v>1.08580617935</v>
      </c>
      <c r="Y38" s="44">
        <f t="shared" si="18"/>
        <v>1.3973002429500001</v>
      </c>
      <c r="Z38" s="44">
        <f t="shared" si="19"/>
        <v>1.8100407119999999</v>
      </c>
      <c r="AA38" s="44">
        <f t="shared" si="20"/>
        <v>0.47704058890000001</v>
      </c>
      <c r="AB38" s="44">
        <f t="shared" si="21"/>
        <v>0.76852164563499992</v>
      </c>
      <c r="AC38" s="44">
        <f t="shared" si="22"/>
        <v>0.45735466479999998</v>
      </c>
      <c r="AD38" s="44">
        <f t="shared" si="23"/>
        <v>1.013037443</v>
      </c>
      <c r="AF38" s="61" t="str">
        <f t="shared" si="24"/>
        <v>P30</v>
      </c>
      <c r="AG38" s="44">
        <f t="shared" si="25"/>
        <v>0.16163229127397261</v>
      </c>
      <c r="AH38" s="44">
        <f t="shared" si="26"/>
        <v>0.14874057251369863</v>
      </c>
      <c r="AI38" s="44">
        <f t="shared" si="27"/>
        <v>0.19141099218493152</v>
      </c>
      <c r="AJ38" s="44">
        <f t="shared" si="28"/>
        <v>0.24795078246575342</v>
      </c>
      <c r="AK38" s="44">
        <f t="shared" si="29"/>
        <v>9.3721137308447944E-2</v>
      </c>
      <c r="AL38" s="44">
        <f t="shared" si="30"/>
        <v>0.15098657085166992</v>
      </c>
      <c r="AM38" s="44">
        <f t="shared" si="31"/>
        <v>0.11376981711442787</v>
      </c>
      <c r="AN38" s="44">
        <f t="shared" si="32"/>
        <v>0.25199936393034827</v>
      </c>
      <c r="AO38" s="44">
        <f t="shared" si="15"/>
        <v>0.18307159322592079</v>
      </c>
    </row>
    <row r="39" spans="1:42" ht="15.6" x14ac:dyDescent="0.25">
      <c r="A39" s="57"/>
      <c r="B39" s="61" t="s">
        <v>170</v>
      </c>
      <c r="C39" s="74">
        <v>0.74701839690000005</v>
      </c>
      <c r="D39" s="74">
        <v>1.8656009440000001</v>
      </c>
      <c r="E39" s="74">
        <v>1.530903578</v>
      </c>
      <c r="F39" s="74">
        <v>1.7163285020000001</v>
      </c>
      <c r="G39" s="74">
        <v>0.65594166519999997</v>
      </c>
      <c r="H39" s="74">
        <v>0.90043604369999997</v>
      </c>
      <c r="I39" s="74">
        <v>1.005784988</v>
      </c>
      <c r="J39" s="74">
        <v>1.0640388730000001</v>
      </c>
      <c r="K39" s="44">
        <f t="shared" si="12"/>
        <v>1.3132449882353241</v>
      </c>
      <c r="L39" s="44"/>
      <c r="N39">
        <v>0.95</v>
      </c>
      <c r="O39">
        <v>0.95</v>
      </c>
      <c r="P39">
        <v>0.95</v>
      </c>
      <c r="Q39">
        <v>1</v>
      </c>
      <c r="R39">
        <v>1</v>
      </c>
      <c r="S39">
        <v>0.95</v>
      </c>
      <c r="T39">
        <v>1</v>
      </c>
      <c r="U39">
        <v>1</v>
      </c>
      <c r="W39" s="44">
        <f t="shared" si="16"/>
        <v>0.709667477055</v>
      </c>
      <c r="X39" s="44">
        <f t="shared" si="17"/>
        <v>1.7723208967999999</v>
      </c>
      <c r="Y39" s="44">
        <f t="shared" si="18"/>
        <v>1.4543583991</v>
      </c>
      <c r="Z39" s="44">
        <f t="shared" si="19"/>
        <v>1.7163285020000001</v>
      </c>
      <c r="AA39" s="44">
        <f t="shared" si="20"/>
        <v>0.65594166519999997</v>
      </c>
      <c r="AB39" s="44">
        <f t="shared" si="21"/>
        <v>0.8554142415149999</v>
      </c>
      <c r="AC39" s="44">
        <f t="shared" si="22"/>
        <v>1.005784988</v>
      </c>
      <c r="AD39" s="44">
        <f t="shared" si="23"/>
        <v>1.0640388730000001</v>
      </c>
      <c r="AF39" s="61" t="str">
        <f t="shared" si="24"/>
        <v>P31</v>
      </c>
      <c r="AG39" s="44">
        <f t="shared" si="25"/>
        <v>9.7214722884246582E-2</v>
      </c>
      <c r="AH39" s="44">
        <f t="shared" si="26"/>
        <v>0.24278368449315069</v>
      </c>
      <c r="AI39" s="44">
        <f t="shared" si="27"/>
        <v>0.1992271779589041</v>
      </c>
      <c r="AJ39" s="44">
        <f t="shared" si="28"/>
        <v>0.23511349342465757</v>
      </c>
      <c r="AK39" s="44">
        <f t="shared" si="29"/>
        <v>0.12886869650294694</v>
      </c>
      <c r="AL39" s="44">
        <f t="shared" si="30"/>
        <v>0.16805780776326129</v>
      </c>
      <c r="AM39" s="44">
        <f t="shared" si="31"/>
        <v>0.25019527064676622</v>
      </c>
      <c r="AN39" s="44">
        <f t="shared" si="32"/>
        <v>0.26468628681592044</v>
      </c>
      <c r="AO39" s="44">
        <f t="shared" si="15"/>
        <v>0.20268625905683837</v>
      </c>
    </row>
    <row r="40" spans="1:42" ht="15.6" x14ac:dyDescent="0.25">
      <c r="A40" s="60"/>
      <c r="B40" s="62" t="s">
        <v>171</v>
      </c>
      <c r="C40" s="74">
        <v>1.6079032419999999</v>
      </c>
      <c r="D40" s="74">
        <v>1.9365533589999999</v>
      </c>
      <c r="E40" s="74">
        <v>1.5241570470000001</v>
      </c>
      <c r="F40" s="74">
        <v>2.0199601650000001</v>
      </c>
      <c r="G40" s="74">
        <v>0.67044794559999998</v>
      </c>
      <c r="H40" s="74">
        <v>0.87759435180000001</v>
      </c>
      <c r="I40" s="74">
        <v>1.7979122400000001</v>
      </c>
      <c r="J40" s="74">
        <v>0.9712746739</v>
      </c>
      <c r="K40" s="44">
        <f t="shared" si="12"/>
        <v>1.528387756033164</v>
      </c>
      <c r="L40" s="58"/>
      <c r="N40">
        <v>0.95</v>
      </c>
      <c r="O40">
        <v>0.95</v>
      </c>
      <c r="P40">
        <v>0.95</v>
      </c>
      <c r="Q40">
        <v>1</v>
      </c>
      <c r="R40">
        <v>1</v>
      </c>
      <c r="S40">
        <v>0.95</v>
      </c>
      <c r="T40">
        <v>1</v>
      </c>
      <c r="U40">
        <v>1</v>
      </c>
      <c r="W40" s="44">
        <f t="shared" si="16"/>
        <v>1.5275080798999998</v>
      </c>
      <c r="X40" s="44">
        <f t="shared" si="17"/>
        <v>1.8397256910499999</v>
      </c>
      <c r="Y40" s="44">
        <f t="shared" si="18"/>
        <v>1.44794919465</v>
      </c>
      <c r="Z40" s="44">
        <f t="shared" si="19"/>
        <v>2.0199601650000001</v>
      </c>
      <c r="AA40" s="44">
        <f t="shared" si="20"/>
        <v>0.67044794559999998</v>
      </c>
      <c r="AB40" s="44">
        <f t="shared" si="21"/>
        <v>0.83371463420999992</v>
      </c>
      <c r="AC40" s="44">
        <f t="shared" si="22"/>
        <v>1.7979122400000001</v>
      </c>
      <c r="AD40" s="44">
        <f t="shared" si="23"/>
        <v>0.9712746739</v>
      </c>
      <c r="AF40" s="61" t="str">
        <f t="shared" si="24"/>
        <v>P32</v>
      </c>
      <c r="AG40" s="44">
        <f t="shared" si="25"/>
        <v>0.20924768217808218</v>
      </c>
      <c r="AH40" s="44">
        <f t="shared" si="26"/>
        <v>0.25201721795205478</v>
      </c>
      <c r="AI40" s="44">
        <f t="shared" si="27"/>
        <v>0.19834920474657536</v>
      </c>
      <c r="AJ40" s="44">
        <f t="shared" si="28"/>
        <v>0.27670687191780824</v>
      </c>
      <c r="AK40" s="44">
        <f t="shared" si="29"/>
        <v>0.13171865335952848</v>
      </c>
      <c r="AL40" s="44">
        <f t="shared" si="30"/>
        <v>0.16379462361689587</v>
      </c>
      <c r="AM40" s="44">
        <f t="shared" si="31"/>
        <v>0.44724185074626871</v>
      </c>
      <c r="AN40" s="44">
        <f t="shared" si="32"/>
        <v>0.24161061539800999</v>
      </c>
      <c r="AO40" s="44">
        <f t="shared" si="15"/>
        <v>0.23790503005413086</v>
      </c>
    </row>
    <row r="41" spans="1:42" ht="15.6" x14ac:dyDescent="0.25">
      <c r="A41" s="57"/>
      <c r="B41" s="61" t="s">
        <v>172</v>
      </c>
      <c r="C41" s="74">
        <v>2.1284847259999999</v>
      </c>
      <c r="D41" s="74">
        <v>2.3096759320000002</v>
      </c>
      <c r="E41" s="74">
        <v>1.855286717</v>
      </c>
      <c r="F41" s="74">
        <v>2.1932988170000001</v>
      </c>
      <c r="G41" s="74">
        <v>0.49587506059999997</v>
      </c>
      <c r="H41" s="74">
        <v>0.88175767660000004</v>
      </c>
      <c r="I41" s="74">
        <v>2.48077178</v>
      </c>
      <c r="J41" s="74">
        <v>1.347226381</v>
      </c>
      <c r="K41" s="44">
        <f t="shared" si="12"/>
        <v>1.7708701508874209</v>
      </c>
      <c r="L41" s="44"/>
      <c r="N41">
        <v>0.95</v>
      </c>
      <c r="O41">
        <v>0.95</v>
      </c>
      <c r="P41">
        <v>0.95</v>
      </c>
      <c r="Q41">
        <v>1</v>
      </c>
      <c r="R41">
        <v>1</v>
      </c>
      <c r="S41">
        <v>0.95</v>
      </c>
      <c r="T41">
        <v>1</v>
      </c>
      <c r="U41">
        <v>1</v>
      </c>
      <c r="W41" s="44">
        <f t="shared" si="16"/>
        <v>2.0220604896999999</v>
      </c>
      <c r="X41" s="44">
        <f t="shared" si="17"/>
        <v>2.1941921354000002</v>
      </c>
      <c r="Y41" s="44">
        <f t="shared" si="18"/>
        <v>1.7625223811499999</v>
      </c>
      <c r="Z41" s="44">
        <f t="shared" si="19"/>
        <v>2.1932988170000001</v>
      </c>
      <c r="AA41" s="44">
        <f t="shared" si="20"/>
        <v>0.49587506059999997</v>
      </c>
      <c r="AB41" s="44">
        <f t="shared" si="21"/>
        <v>0.83766979276999998</v>
      </c>
      <c r="AC41" s="44">
        <f t="shared" si="22"/>
        <v>2.48077178</v>
      </c>
      <c r="AD41" s="44">
        <f t="shared" si="23"/>
        <v>1.347226381</v>
      </c>
      <c r="AF41" s="61" t="str">
        <f t="shared" si="24"/>
        <v>P33</v>
      </c>
      <c r="AG41" s="44">
        <f t="shared" si="25"/>
        <v>0.27699458763013696</v>
      </c>
      <c r="AH41" s="44">
        <f t="shared" si="26"/>
        <v>0.30057426512328772</v>
      </c>
      <c r="AI41" s="44">
        <f t="shared" si="27"/>
        <v>0.24144142207534247</v>
      </c>
      <c r="AJ41" s="44">
        <f t="shared" si="28"/>
        <v>0.30045189273972606</v>
      </c>
      <c r="AK41" s="44">
        <f t="shared" si="29"/>
        <v>9.742142644400785E-2</v>
      </c>
      <c r="AL41" s="44">
        <f t="shared" si="30"/>
        <v>0.16457166852062868</v>
      </c>
      <c r="AM41" s="44">
        <f t="shared" si="31"/>
        <v>0.61710740796019903</v>
      </c>
      <c r="AN41" s="44">
        <f t="shared" si="32"/>
        <v>0.33513094054726372</v>
      </c>
      <c r="AO41" s="44">
        <f t="shared" si="15"/>
        <v>0.27790756099681529</v>
      </c>
    </row>
    <row r="42" spans="1:42" ht="15.6" x14ac:dyDescent="0.25">
      <c r="A42" s="60"/>
      <c r="B42" s="62" t="s">
        <v>173</v>
      </c>
      <c r="C42" s="74">
        <v>2.7208421230000002</v>
      </c>
      <c r="D42" s="74">
        <v>2.7298457620000001</v>
      </c>
      <c r="E42" s="74">
        <v>2.2485971450000002</v>
      </c>
      <c r="F42" s="74">
        <v>3.4421112539999998</v>
      </c>
      <c r="G42" s="74">
        <v>0.90121418239999995</v>
      </c>
      <c r="H42" s="74">
        <v>1.419542909</v>
      </c>
      <c r="I42" s="74">
        <v>1.794598103</v>
      </c>
      <c r="J42" s="74">
        <v>1.949917436</v>
      </c>
      <c r="K42" s="44">
        <f t="shared" si="12"/>
        <v>2.3688679026663282</v>
      </c>
      <c r="L42" s="58"/>
      <c r="N42">
        <v>0.95</v>
      </c>
      <c r="O42">
        <v>0.95</v>
      </c>
      <c r="P42">
        <v>0.95</v>
      </c>
      <c r="Q42">
        <v>1</v>
      </c>
      <c r="R42">
        <v>1</v>
      </c>
      <c r="S42">
        <v>0.95</v>
      </c>
      <c r="T42">
        <v>1</v>
      </c>
      <c r="U42">
        <v>1</v>
      </c>
      <c r="W42" s="44">
        <f t="shared" si="16"/>
        <v>2.58480001685</v>
      </c>
      <c r="X42" s="44">
        <f t="shared" si="17"/>
        <v>2.5933534739000002</v>
      </c>
      <c r="Y42" s="44">
        <f t="shared" si="18"/>
        <v>2.1361672877500002</v>
      </c>
      <c r="Z42" s="44">
        <f t="shared" si="19"/>
        <v>3.4421112539999998</v>
      </c>
      <c r="AA42" s="44">
        <f t="shared" si="20"/>
        <v>0.90121418239999995</v>
      </c>
      <c r="AB42" s="44">
        <f t="shared" si="21"/>
        <v>1.3485657635499999</v>
      </c>
      <c r="AC42" s="44">
        <f t="shared" si="22"/>
        <v>1.794598103</v>
      </c>
      <c r="AD42" s="44">
        <f t="shared" si="23"/>
        <v>1.949917436</v>
      </c>
      <c r="AF42" s="61" t="str">
        <f t="shared" si="24"/>
        <v>P34</v>
      </c>
      <c r="AG42" s="44">
        <f t="shared" si="25"/>
        <v>0.35408219408904112</v>
      </c>
      <c r="AH42" s="44">
        <f t="shared" si="26"/>
        <v>0.3552539005342466</v>
      </c>
      <c r="AI42" s="44">
        <f t="shared" si="27"/>
        <v>0.2926256558561644</v>
      </c>
      <c r="AJ42" s="44">
        <f t="shared" si="28"/>
        <v>0.47152208958904107</v>
      </c>
      <c r="AK42" s="44">
        <f t="shared" si="29"/>
        <v>0.17705583151277013</v>
      </c>
      <c r="AL42" s="44">
        <f t="shared" si="30"/>
        <v>0.26494415786836933</v>
      </c>
      <c r="AM42" s="44">
        <f t="shared" si="31"/>
        <v>0.446417438557214</v>
      </c>
      <c r="AN42" s="44">
        <f t="shared" si="32"/>
        <v>0.48505408855721399</v>
      </c>
      <c r="AO42" s="44">
        <f t="shared" si="15"/>
        <v>0.36296020627420011</v>
      </c>
    </row>
    <row r="43" spans="1:42" ht="15.6" x14ac:dyDescent="0.25">
      <c r="A43" s="57"/>
      <c r="B43" s="61" t="s">
        <v>174</v>
      </c>
      <c r="C43" s="74">
        <v>3.1026947499999999</v>
      </c>
      <c r="D43" s="74">
        <v>3.0225555900000001</v>
      </c>
      <c r="E43" s="74">
        <v>2.5574374199999999</v>
      </c>
      <c r="F43" s="74">
        <v>3.9957993030000001</v>
      </c>
      <c r="G43" s="74">
        <v>1.3723751310000001</v>
      </c>
      <c r="H43" s="74">
        <v>1.935516357</v>
      </c>
      <c r="I43" s="74">
        <v>0.46905609970000001</v>
      </c>
      <c r="J43" s="74">
        <v>0.84315514560000004</v>
      </c>
      <c r="K43" s="44">
        <f t="shared" si="12"/>
        <v>2.5537716960594667</v>
      </c>
      <c r="L43" s="58">
        <f>AVERAGE(K9:K43)</f>
        <v>1.5481942834797353</v>
      </c>
      <c r="N43">
        <v>0.95</v>
      </c>
      <c r="O43">
        <v>0.95</v>
      </c>
      <c r="P43">
        <v>0.95</v>
      </c>
      <c r="Q43">
        <v>1</v>
      </c>
      <c r="R43">
        <v>1</v>
      </c>
      <c r="S43">
        <v>0.95</v>
      </c>
      <c r="T43">
        <v>1</v>
      </c>
      <c r="U43">
        <v>1</v>
      </c>
      <c r="W43" s="44">
        <f t="shared" si="16"/>
        <v>2.9475600124999999</v>
      </c>
      <c r="X43" s="44">
        <f t="shared" si="17"/>
        <v>2.8714278104999997</v>
      </c>
      <c r="Y43" s="44">
        <f t="shared" si="18"/>
        <v>2.4295655489999999</v>
      </c>
      <c r="Z43" s="44">
        <f t="shared" si="19"/>
        <v>3.9957993030000001</v>
      </c>
      <c r="AA43" s="44">
        <f t="shared" si="20"/>
        <v>1.3723751310000001</v>
      </c>
      <c r="AB43" s="44">
        <f t="shared" si="21"/>
        <v>1.83874053915</v>
      </c>
      <c r="AC43" s="44">
        <f t="shared" si="22"/>
        <v>0.46905609970000001</v>
      </c>
      <c r="AD43" s="44">
        <f t="shared" si="23"/>
        <v>0.84315514560000004</v>
      </c>
      <c r="AF43" s="61" t="str">
        <f t="shared" si="24"/>
        <v>P35</v>
      </c>
      <c r="AG43" s="44">
        <f t="shared" si="25"/>
        <v>0.4037753441780822</v>
      </c>
      <c r="AH43" s="44">
        <f t="shared" si="26"/>
        <v>0.3933462754109589</v>
      </c>
      <c r="AI43" s="44">
        <f t="shared" si="27"/>
        <v>0.33281719849315067</v>
      </c>
      <c r="AJ43" s="44">
        <f t="shared" si="28"/>
        <v>0.5473697675342466</v>
      </c>
      <c r="AK43" s="44">
        <f t="shared" si="29"/>
        <v>0.26962183320235761</v>
      </c>
      <c r="AL43" s="44">
        <f t="shared" si="30"/>
        <v>0.36124568549115915</v>
      </c>
      <c r="AM43" s="44">
        <f t="shared" si="31"/>
        <v>0.11668062181592041</v>
      </c>
      <c r="AN43" s="44">
        <f t="shared" si="32"/>
        <v>0.20974008597014929</v>
      </c>
      <c r="AO43" s="44">
        <f t="shared" si="15"/>
        <v>0.372249208197791</v>
      </c>
      <c r="AP43" s="80">
        <f>AVERAGE(AO9:AO43)</f>
        <v>0.23900888279186963</v>
      </c>
    </row>
    <row r="44" spans="1:42" ht="15.6" x14ac:dyDescent="0.25">
      <c r="A44" s="60"/>
      <c r="B44" s="62" t="s">
        <v>231</v>
      </c>
      <c r="C44" s="74">
        <v>3.0006618500000002</v>
      </c>
      <c r="D44" s="74">
        <v>2.9374747280000002</v>
      </c>
      <c r="E44" s="74">
        <v>2.6358983519999999</v>
      </c>
      <c r="F44" s="74">
        <v>1.658905506</v>
      </c>
      <c r="G44" s="74">
        <v>1.2209550140000001</v>
      </c>
      <c r="H44" s="74">
        <v>1.067292213</v>
      </c>
      <c r="I44" s="74">
        <v>0.82731407879999996</v>
      </c>
      <c r="J44" s="74">
        <v>0.53797668219999994</v>
      </c>
      <c r="K44" s="44">
        <f t="shared" si="12"/>
        <v>1.8090146776193141</v>
      </c>
      <c r="L44" s="58"/>
      <c r="N44">
        <v>0.95</v>
      </c>
      <c r="O44">
        <v>1</v>
      </c>
      <c r="P44">
        <v>0.95</v>
      </c>
      <c r="Q44">
        <v>1</v>
      </c>
      <c r="R44">
        <v>0.95</v>
      </c>
      <c r="S44">
        <v>0.95</v>
      </c>
      <c r="T44">
        <v>1</v>
      </c>
      <c r="U44">
        <v>1</v>
      </c>
      <c r="W44" s="44">
        <f t="shared" si="16"/>
        <v>2.8506287575</v>
      </c>
      <c r="X44" s="44">
        <f t="shared" si="17"/>
        <v>2.9374747280000002</v>
      </c>
      <c r="Y44" s="44">
        <f t="shared" si="18"/>
        <v>2.5041034343999997</v>
      </c>
      <c r="Z44" s="44">
        <f t="shared" si="19"/>
        <v>1.658905506</v>
      </c>
      <c r="AA44" s="44">
        <f t="shared" si="20"/>
        <v>1.1599072633</v>
      </c>
      <c r="AB44" s="44">
        <f t="shared" si="21"/>
        <v>1.0139276023499999</v>
      </c>
      <c r="AC44" s="44">
        <f t="shared" si="22"/>
        <v>0.82731407879999996</v>
      </c>
      <c r="AD44" s="44">
        <f t="shared" si="23"/>
        <v>0.53797668219999994</v>
      </c>
      <c r="AF44" s="61" t="str">
        <f t="shared" si="24"/>
        <v>O1</v>
      </c>
      <c r="AG44" s="44">
        <f t="shared" si="25"/>
        <v>0.39049709006849315</v>
      </c>
      <c r="AH44" s="44">
        <f t="shared" si="26"/>
        <v>0.4023937983561644</v>
      </c>
      <c r="AI44" s="44">
        <f t="shared" si="27"/>
        <v>0.34302786772602739</v>
      </c>
      <c r="AJ44" s="44">
        <f t="shared" si="28"/>
        <v>0.22724732958904109</v>
      </c>
      <c r="AK44" s="44">
        <f t="shared" si="29"/>
        <v>0.22787961950884089</v>
      </c>
      <c r="AL44" s="44">
        <f t="shared" si="30"/>
        <v>0.1991999218762279</v>
      </c>
      <c r="AM44" s="44">
        <f t="shared" si="31"/>
        <v>0.20579952208955224</v>
      </c>
      <c r="AN44" s="44">
        <f t="shared" si="32"/>
        <v>0.13382504532338307</v>
      </c>
      <c r="AO44" s="44">
        <f t="shared" si="15"/>
        <v>0.26691776807748158</v>
      </c>
    </row>
    <row r="45" spans="1:42" ht="15.6" x14ac:dyDescent="0.25">
      <c r="A45" s="57"/>
      <c r="B45" s="62" t="s">
        <v>175</v>
      </c>
      <c r="C45" s="74">
        <v>3.2203710079999999</v>
      </c>
      <c r="D45" s="74">
        <v>3.0083589549999998</v>
      </c>
      <c r="E45" s="74">
        <v>2.4504992959999998</v>
      </c>
      <c r="F45" s="74">
        <v>1.989957094</v>
      </c>
      <c r="G45" s="74">
        <v>0.86662977929999996</v>
      </c>
      <c r="H45" s="74">
        <v>0.71992987389999996</v>
      </c>
      <c r="I45" s="74">
        <v>1.0170387030000001</v>
      </c>
      <c r="J45" s="74">
        <v>0.5972260237</v>
      </c>
      <c r="K45" s="44">
        <f t="shared" si="12"/>
        <v>1.8405757096077513</v>
      </c>
      <c r="L45" s="44"/>
      <c r="N45">
        <v>0.95</v>
      </c>
      <c r="O45">
        <v>1</v>
      </c>
      <c r="P45">
        <v>0.95</v>
      </c>
      <c r="Q45">
        <v>1</v>
      </c>
      <c r="R45">
        <v>0.95</v>
      </c>
      <c r="S45">
        <v>0.95</v>
      </c>
      <c r="T45">
        <v>1</v>
      </c>
      <c r="U45">
        <v>1</v>
      </c>
      <c r="W45" s="44">
        <f t="shared" si="16"/>
        <v>3.0593524575999997</v>
      </c>
      <c r="X45" s="44">
        <f t="shared" si="17"/>
        <v>3.0083589549999998</v>
      </c>
      <c r="Y45" s="44">
        <f t="shared" si="18"/>
        <v>2.3279743311999996</v>
      </c>
      <c r="Z45" s="44">
        <f t="shared" si="19"/>
        <v>1.989957094</v>
      </c>
      <c r="AA45" s="44">
        <f t="shared" si="20"/>
        <v>0.8232982903349999</v>
      </c>
      <c r="AB45" s="44">
        <f t="shared" si="21"/>
        <v>0.68393338020499994</v>
      </c>
      <c r="AC45" s="44">
        <f t="shared" si="22"/>
        <v>1.0170387030000001</v>
      </c>
      <c r="AD45" s="44">
        <f t="shared" si="23"/>
        <v>0.5972260237</v>
      </c>
      <c r="AF45" s="61" t="str">
        <f t="shared" si="24"/>
        <v>O2</v>
      </c>
      <c r="AG45" s="44">
        <f t="shared" si="25"/>
        <v>0.41908937775342464</v>
      </c>
      <c r="AH45" s="44">
        <f t="shared" si="26"/>
        <v>0.41210396643835617</v>
      </c>
      <c r="AI45" s="44">
        <f t="shared" si="27"/>
        <v>0.31890059331506843</v>
      </c>
      <c r="AJ45" s="44">
        <f t="shared" si="28"/>
        <v>0.27259686219178081</v>
      </c>
      <c r="AK45" s="44">
        <f t="shared" si="29"/>
        <v>0.1617481906355599</v>
      </c>
      <c r="AL45" s="44">
        <f t="shared" si="30"/>
        <v>0.13436805112082514</v>
      </c>
      <c r="AM45" s="44">
        <f t="shared" si="31"/>
        <v>0.25299470223880605</v>
      </c>
      <c r="AN45" s="44">
        <f t="shared" si="32"/>
        <v>0.14856368748756221</v>
      </c>
      <c r="AO45" s="44">
        <f t="shared" si="15"/>
        <v>0.26987447969511724</v>
      </c>
    </row>
    <row r="46" spans="1:42" ht="15.6" x14ac:dyDescent="0.25">
      <c r="A46" s="60"/>
      <c r="B46" s="62" t="s">
        <v>176</v>
      </c>
      <c r="C46" s="74">
        <v>1.980532169</v>
      </c>
      <c r="D46" s="74">
        <v>1.6154910330000001</v>
      </c>
      <c r="E46" s="74">
        <v>1.128454566</v>
      </c>
      <c r="F46" s="74">
        <v>2.0824401379999999</v>
      </c>
      <c r="G46" s="74">
        <v>0.51357793809999996</v>
      </c>
      <c r="H46" s="74">
        <v>0.57464170459999997</v>
      </c>
      <c r="I46" s="74">
        <v>0.99900728459999999</v>
      </c>
      <c r="J46" s="74">
        <v>0.28145864609999999</v>
      </c>
      <c r="K46" s="44">
        <f t="shared" si="12"/>
        <v>1.3165567018360866</v>
      </c>
      <c r="L46" s="58"/>
      <c r="N46">
        <v>0.95</v>
      </c>
      <c r="O46">
        <v>1</v>
      </c>
      <c r="P46">
        <v>0.95</v>
      </c>
      <c r="Q46">
        <v>1</v>
      </c>
      <c r="R46">
        <v>0.95</v>
      </c>
      <c r="S46">
        <v>0.95</v>
      </c>
      <c r="T46">
        <v>1</v>
      </c>
      <c r="U46">
        <v>1</v>
      </c>
      <c r="W46" s="44">
        <f t="shared" si="16"/>
        <v>1.88150556055</v>
      </c>
      <c r="X46" s="44">
        <f t="shared" si="17"/>
        <v>1.6154910330000001</v>
      </c>
      <c r="Y46" s="44">
        <f t="shared" si="18"/>
        <v>1.0720318377</v>
      </c>
      <c r="Z46" s="44">
        <f t="shared" si="19"/>
        <v>2.0824401379999999</v>
      </c>
      <c r="AA46" s="44">
        <f t="shared" si="20"/>
        <v>0.48789904119499994</v>
      </c>
      <c r="AB46" s="44">
        <f t="shared" si="21"/>
        <v>0.54590961936999993</v>
      </c>
      <c r="AC46" s="44">
        <f t="shared" si="22"/>
        <v>0.99900728459999999</v>
      </c>
      <c r="AD46" s="44">
        <f t="shared" si="23"/>
        <v>0.28145864609999999</v>
      </c>
      <c r="AF46" s="61" t="str">
        <f t="shared" si="24"/>
        <v>O3</v>
      </c>
      <c r="AG46" s="44">
        <f t="shared" si="25"/>
        <v>0.25774048774657532</v>
      </c>
      <c r="AH46" s="44">
        <f t="shared" si="26"/>
        <v>0.22130014150684932</v>
      </c>
      <c r="AI46" s="44">
        <f t="shared" si="27"/>
        <v>0.14685367639726027</v>
      </c>
      <c r="AJ46" s="44">
        <f t="shared" si="28"/>
        <v>0.2852657723287671</v>
      </c>
      <c r="AK46" s="44">
        <f t="shared" si="29"/>
        <v>9.5854428525540269E-2</v>
      </c>
      <c r="AL46" s="44">
        <f t="shared" si="30"/>
        <v>0.10725139869744596</v>
      </c>
      <c r="AM46" s="44">
        <f t="shared" si="31"/>
        <v>0.24850927477611942</v>
      </c>
      <c r="AN46" s="44">
        <f t="shared" si="32"/>
        <v>7.001458858208956E-2</v>
      </c>
      <c r="AO46" s="44">
        <f t="shared" si="15"/>
        <v>0.194597071710817</v>
      </c>
    </row>
    <row r="47" spans="1:42" ht="15.6" x14ac:dyDescent="0.25">
      <c r="A47" s="57"/>
      <c r="B47" s="62" t="s">
        <v>177</v>
      </c>
      <c r="C47" s="74">
        <v>1.2264236209999999</v>
      </c>
      <c r="D47" s="74">
        <v>0.99846565720000002</v>
      </c>
      <c r="E47" s="74">
        <v>0.68803423640000005</v>
      </c>
      <c r="F47" s="74">
        <v>1.9377907510000001</v>
      </c>
      <c r="G47" s="74">
        <v>0.49113225939999999</v>
      </c>
      <c r="H47" s="74">
        <v>0.72866755719999998</v>
      </c>
      <c r="I47" s="74">
        <v>0.79356259110000005</v>
      </c>
      <c r="J47" s="74">
        <v>0.33909118179999997</v>
      </c>
      <c r="K47" s="44">
        <f t="shared" si="12"/>
        <v>1.0741617085115631</v>
      </c>
      <c r="L47" s="44"/>
      <c r="N47">
        <v>0.95</v>
      </c>
      <c r="O47">
        <v>1</v>
      </c>
      <c r="P47">
        <v>0.95</v>
      </c>
      <c r="Q47">
        <v>1</v>
      </c>
      <c r="R47">
        <v>0.95</v>
      </c>
      <c r="S47">
        <v>0.95</v>
      </c>
      <c r="T47">
        <v>1</v>
      </c>
      <c r="U47">
        <v>1</v>
      </c>
      <c r="W47" s="44">
        <f t="shared" si="16"/>
        <v>1.1651024399499998</v>
      </c>
      <c r="X47" s="44">
        <f t="shared" si="17"/>
        <v>0.99846565720000002</v>
      </c>
      <c r="Y47" s="44">
        <f t="shared" si="18"/>
        <v>0.65363252457999999</v>
      </c>
      <c r="Z47" s="44">
        <f t="shared" si="19"/>
        <v>1.9377907510000001</v>
      </c>
      <c r="AA47" s="44">
        <f t="shared" si="20"/>
        <v>0.46657564642999999</v>
      </c>
      <c r="AB47" s="44">
        <f t="shared" si="21"/>
        <v>0.69223417933999998</v>
      </c>
      <c r="AC47" s="44">
        <f t="shared" si="22"/>
        <v>0.79356259110000005</v>
      </c>
      <c r="AD47" s="44">
        <f t="shared" si="23"/>
        <v>0.33909118179999997</v>
      </c>
      <c r="AF47" s="61" t="str">
        <f t="shared" si="24"/>
        <v>O4</v>
      </c>
      <c r="AG47" s="44">
        <f t="shared" si="25"/>
        <v>0.15960307396575341</v>
      </c>
      <c r="AH47" s="44">
        <f t="shared" si="26"/>
        <v>0.13677611742465753</v>
      </c>
      <c r="AI47" s="44">
        <f t="shared" si="27"/>
        <v>8.9538701997260273E-2</v>
      </c>
      <c r="AJ47" s="44">
        <f t="shared" si="28"/>
        <v>0.26545078780821918</v>
      </c>
      <c r="AK47" s="44">
        <f t="shared" si="29"/>
        <v>9.1665156469548134E-2</v>
      </c>
      <c r="AL47" s="44">
        <f t="shared" si="30"/>
        <v>0.13599885645186641</v>
      </c>
      <c r="AM47" s="44">
        <f t="shared" si="31"/>
        <v>0.1974036296268657</v>
      </c>
      <c r="AN47" s="44">
        <f t="shared" si="32"/>
        <v>8.4351040248756226E-2</v>
      </c>
      <c r="AO47" s="44">
        <f t="shared" si="15"/>
        <v>0.1613610243256185</v>
      </c>
    </row>
    <row r="48" spans="1:42" ht="15.6" x14ac:dyDescent="0.25">
      <c r="A48" s="60"/>
      <c r="B48" s="62" t="s">
        <v>178</v>
      </c>
      <c r="C48" s="74">
        <v>3.4257807730000001</v>
      </c>
      <c r="D48" s="74">
        <v>3.381693125</v>
      </c>
      <c r="E48" s="74">
        <v>2.9571499819999998</v>
      </c>
      <c r="F48" s="74">
        <v>1.4553318019999999</v>
      </c>
      <c r="G48" s="74">
        <v>1.036611438</v>
      </c>
      <c r="H48" s="74">
        <v>0.4554394484</v>
      </c>
      <c r="I48" s="74">
        <v>1.951412916</v>
      </c>
      <c r="J48" s="74">
        <v>1.445184588</v>
      </c>
      <c r="K48" s="44">
        <f t="shared" si="12"/>
        <v>1.9731735825288439</v>
      </c>
      <c r="L48" s="58"/>
      <c r="N48">
        <v>0.95</v>
      </c>
      <c r="O48">
        <v>1</v>
      </c>
      <c r="P48">
        <v>0.95</v>
      </c>
      <c r="Q48">
        <v>1</v>
      </c>
      <c r="R48">
        <v>0.95</v>
      </c>
      <c r="S48">
        <v>0.95</v>
      </c>
      <c r="T48">
        <v>1</v>
      </c>
      <c r="U48">
        <v>1</v>
      </c>
      <c r="W48" s="44">
        <f t="shared" si="16"/>
        <v>3.2544917343499997</v>
      </c>
      <c r="X48" s="44">
        <f t="shared" si="17"/>
        <v>3.381693125</v>
      </c>
      <c r="Y48" s="44">
        <f t="shared" si="18"/>
        <v>2.8092924828999997</v>
      </c>
      <c r="Z48" s="44">
        <f t="shared" si="19"/>
        <v>1.4553318019999999</v>
      </c>
      <c r="AA48" s="44">
        <f t="shared" si="20"/>
        <v>0.98478086609999993</v>
      </c>
      <c r="AB48" s="44">
        <f t="shared" si="21"/>
        <v>0.43266747597999999</v>
      </c>
      <c r="AC48" s="44">
        <f t="shared" si="22"/>
        <v>1.951412916</v>
      </c>
      <c r="AD48" s="44">
        <f t="shared" si="23"/>
        <v>1.445184588</v>
      </c>
      <c r="AF48" s="61" t="str">
        <f t="shared" si="24"/>
        <v>O5</v>
      </c>
      <c r="AG48" s="44">
        <f t="shared" si="25"/>
        <v>0.44582078552739723</v>
      </c>
      <c r="AH48" s="44">
        <f t="shared" si="26"/>
        <v>0.46324563356164383</v>
      </c>
      <c r="AI48" s="44">
        <f t="shared" si="27"/>
        <v>0.38483458669863008</v>
      </c>
      <c r="AJ48" s="44">
        <f t="shared" si="28"/>
        <v>0.1993605208219178</v>
      </c>
      <c r="AK48" s="44">
        <f t="shared" si="29"/>
        <v>0.19347364756385069</v>
      </c>
      <c r="AL48" s="44">
        <f t="shared" si="30"/>
        <v>8.5003433394891942E-2</v>
      </c>
      <c r="AM48" s="44">
        <f t="shared" si="31"/>
        <v>0.48542609850746271</v>
      </c>
      <c r="AN48" s="44">
        <f t="shared" si="32"/>
        <v>0.35949865373134332</v>
      </c>
      <c r="AO48" s="44">
        <f t="shared" si="15"/>
        <v>0.30295081438084442</v>
      </c>
    </row>
    <row r="49" spans="1:41" ht="15.6" x14ac:dyDescent="0.25">
      <c r="A49" s="57"/>
      <c r="B49" s="62" t="s">
        <v>179</v>
      </c>
      <c r="C49" s="74">
        <v>4.1723117829999996</v>
      </c>
      <c r="D49" s="74">
        <v>4.1068329810000002</v>
      </c>
      <c r="E49" s="74">
        <v>3.5418894289999998</v>
      </c>
      <c r="F49" s="74">
        <v>1.023060799</v>
      </c>
      <c r="G49" s="74">
        <v>1.5086892839999999</v>
      </c>
      <c r="H49" s="74">
        <v>0.95946395399999995</v>
      </c>
      <c r="I49" s="74">
        <v>1.694051862</v>
      </c>
      <c r="J49" s="74">
        <v>0.59288704400000003</v>
      </c>
      <c r="K49" s="44">
        <f t="shared" si="12"/>
        <v>2.0978540994663284</v>
      </c>
      <c r="L49" s="44"/>
      <c r="N49">
        <v>0.95</v>
      </c>
      <c r="O49">
        <v>1</v>
      </c>
      <c r="P49">
        <v>0.95</v>
      </c>
      <c r="Q49">
        <v>1</v>
      </c>
      <c r="R49">
        <v>0.95</v>
      </c>
      <c r="S49">
        <v>0.95</v>
      </c>
      <c r="T49">
        <v>1</v>
      </c>
      <c r="U49">
        <v>1</v>
      </c>
      <c r="W49" s="44">
        <f t="shared" si="16"/>
        <v>3.9636961938499993</v>
      </c>
      <c r="X49" s="44">
        <f t="shared" si="17"/>
        <v>4.1068329810000002</v>
      </c>
      <c r="Y49" s="44">
        <f t="shared" si="18"/>
        <v>3.3647949575499996</v>
      </c>
      <c r="Z49" s="44">
        <f t="shared" si="19"/>
        <v>1.023060799</v>
      </c>
      <c r="AA49" s="44">
        <f t="shared" si="20"/>
        <v>1.4332548197999999</v>
      </c>
      <c r="AB49" s="44">
        <f t="shared" si="21"/>
        <v>0.91149075629999987</v>
      </c>
      <c r="AC49" s="44">
        <f t="shared" si="22"/>
        <v>1.694051862</v>
      </c>
      <c r="AD49" s="44">
        <f t="shared" si="23"/>
        <v>0.59288704400000003</v>
      </c>
      <c r="AF49" s="61" t="str">
        <f t="shared" si="24"/>
        <v>O6</v>
      </c>
      <c r="AG49" s="44">
        <f t="shared" si="25"/>
        <v>0.54297208134931496</v>
      </c>
      <c r="AH49" s="44">
        <f t="shared" si="26"/>
        <v>0.56257986041095898</v>
      </c>
      <c r="AI49" s="44">
        <f t="shared" si="27"/>
        <v>0.46093081610273967</v>
      </c>
      <c r="AJ49" s="44">
        <f t="shared" si="28"/>
        <v>0.14014531493150686</v>
      </c>
      <c r="AK49" s="44">
        <f t="shared" si="29"/>
        <v>0.28158247933202357</v>
      </c>
      <c r="AL49" s="44">
        <f t="shared" si="30"/>
        <v>0.17907480477406679</v>
      </c>
      <c r="AM49" s="44">
        <f t="shared" si="31"/>
        <v>0.42140593582089558</v>
      </c>
      <c r="AN49" s="44">
        <f t="shared" si="32"/>
        <v>0.14748433930348262</v>
      </c>
      <c r="AO49" s="44">
        <f t="shared" si="15"/>
        <v>0.31450538801295408</v>
      </c>
    </row>
    <row r="50" spans="1:41" ht="15.6" x14ac:dyDescent="0.25">
      <c r="A50" s="60"/>
      <c r="B50" s="62" t="s">
        <v>180</v>
      </c>
      <c r="C50" s="74">
        <v>2.7574560639999999</v>
      </c>
      <c r="D50" s="74">
        <v>2.8135097029999998</v>
      </c>
      <c r="E50" s="74">
        <v>2.831815481</v>
      </c>
      <c r="F50" s="74">
        <v>1.1722775700000001</v>
      </c>
      <c r="G50" s="74">
        <v>1.7170550819999999</v>
      </c>
      <c r="H50" s="74">
        <v>1.7380366330000001</v>
      </c>
      <c r="I50" s="74">
        <v>1.299223542</v>
      </c>
      <c r="J50" s="74">
        <v>0.14886529740000001</v>
      </c>
      <c r="K50" s="44">
        <f t="shared" si="12"/>
        <v>1.7970675295090219</v>
      </c>
      <c r="L50" s="58"/>
      <c r="N50">
        <v>0.95</v>
      </c>
      <c r="O50">
        <v>1</v>
      </c>
      <c r="P50">
        <v>0.95</v>
      </c>
      <c r="Q50">
        <v>1</v>
      </c>
      <c r="R50">
        <v>0.95</v>
      </c>
      <c r="S50">
        <v>0.95</v>
      </c>
      <c r="T50">
        <v>1</v>
      </c>
      <c r="U50">
        <v>1</v>
      </c>
      <c r="W50" s="44">
        <f t="shared" si="16"/>
        <v>2.6195832607999998</v>
      </c>
      <c r="X50" s="44">
        <f t="shared" si="17"/>
        <v>2.8135097029999998</v>
      </c>
      <c r="Y50" s="44">
        <f t="shared" si="18"/>
        <v>2.69022470695</v>
      </c>
      <c r="Z50" s="44">
        <f t="shared" si="19"/>
        <v>1.1722775700000001</v>
      </c>
      <c r="AA50" s="44">
        <f t="shared" si="20"/>
        <v>1.6312023278999999</v>
      </c>
      <c r="AB50" s="44">
        <f t="shared" si="21"/>
        <v>1.65113480135</v>
      </c>
      <c r="AC50" s="44">
        <f t="shared" si="22"/>
        <v>1.299223542</v>
      </c>
      <c r="AD50" s="44">
        <f t="shared" si="23"/>
        <v>0.14886529740000001</v>
      </c>
      <c r="AF50" s="61" t="str">
        <f t="shared" si="24"/>
        <v>O7</v>
      </c>
      <c r="AG50" s="44">
        <f t="shared" si="25"/>
        <v>0.35884702202739727</v>
      </c>
      <c r="AH50" s="44">
        <f t="shared" si="26"/>
        <v>0.38541228808219175</v>
      </c>
      <c r="AI50" s="44">
        <f t="shared" si="27"/>
        <v>0.36852393245890414</v>
      </c>
      <c r="AJ50" s="44">
        <f t="shared" si="28"/>
        <v>0.16058596849315071</v>
      </c>
      <c r="AK50" s="44">
        <f t="shared" si="29"/>
        <v>0.32047197011787815</v>
      </c>
      <c r="AL50" s="44">
        <f t="shared" si="30"/>
        <v>0.32438797668958747</v>
      </c>
      <c r="AM50" s="44">
        <f t="shared" si="31"/>
        <v>0.32318993582089556</v>
      </c>
      <c r="AN50" s="44">
        <f t="shared" si="32"/>
        <v>3.7031168507462693E-2</v>
      </c>
      <c r="AO50" s="44">
        <f t="shared" si="15"/>
        <v>0.27178368755221316</v>
      </c>
    </row>
    <row r="51" spans="1:41" ht="15.6" x14ac:dyDescent="0.25">
      <c r="A51" s="57"/>
      <c r="B51" s="62" t="s">
        <v>181</v>
      </c>
      <c r="C51" s="74">
        <v>2.393122435</v>
      </c>
      <c r="D51" s="74">
        <v>2.4886639119999998</v>
      </c>
      <c r="E51" s="74">
        <v>2.3805632590000001</v>
      </c>
      <c r="F51" s="74">
        <v>2.1198801989999998</v>
      </c>
      <c r="G51" s="74">
        <v>0.2215968817</v>
      </c>
      <c r="H51" s="74">
        <v>0.84449088569999997</v>
      </c>
      <c r="I51" s="74">
        <v>0.43773081899999999</v>
      </c>
      <c r="J51" s="74">
        <v>9.4712041319999996E-2</v>
      </c>
      <c r="K51" s="44">
        <f t="shared" si="12"/>
        <v>1.5850742298712583</v>
      </c>
      <c r="L51" s="44"/>
      <c r="N51">
        <v>0.95</v>
      </c>
      <c r="O51">
        <v>1</v>
      </c>
      <c r="P51">
        <v>0.95</v>
      </c>
      <c r="Q51">
        <v>1</v>
      </c>
      <c r="R51">
        <v>0.95</v>
      </c>
      <c r="S51">
        <v>0.95</v>
      </c>
      <c r="T51">
        <v>1</v>
      </c>
      <c r="U51">
        <v>1</v>
      </c>
      <c r="W51" s="44">
        <f t="shared" si="16"/>
        <v>2.2734663132499997</v>
      </c>
      <c r="X51" s="44">
        <f t="shared" si="17"/>
        <v>2.4886639119999998</v>
      </c>
      <c r="Y51" s="44">
        <f t="shared" si="18"/>
        <v>2.2615350960499998</v>
      </c>
      <c r="Z51" s="44">
        <f t="shared" si="19"/>
        <v>2.1198801989999998</v>
      </c>
      <c r="AA51" s="44">
        <f t="shared" si="20"/>
        <v>0.21051703761499999</v>
      </c>
      <c r="AB51" s="44">
        <f t="shared" si="21"/>
        <v>0.80226634141499997</v>
      </c>
      <c r="AC51" s="44">
        <f t="shared" si="22"/>
        <v>0.43773081899999999</v>
      </c>
      <c r="AD51" s="44">
        <f t="shared" si="23"/>
        <v>9.4712041319999996E-2</v>
      </c>
      <c r="AF51" s="61" t="str">
        <f t="shared" si="24"/>
        <v>O8</v>
      </c>
      <c r="AG51" s="44">
        <f t="shared" si="25"/>
        <v>0.31143374154109588</v>
      </c>
      <c r="AH51" s="44">
        <f t="shared" si="26"/>
        <v>0.34091286465753423</v>
      </c>
      <c r="AI51" s="44">
        <f t="shared" si="27"/>
        <v>0.3097993282260274</v>
      </c>
      <c r="AJ51" s="44">
        <f t="shared" si="28"/>
        <v>0.29039454780821916</v>
      </c>
      <c r="AK51" s="44">
        <f t="shared" si="29"/>
        <v>4.1358946486247543E-2</v>
      </c>
      <c r="AL51" s="44">
        <f t="shared" si="30"/>
        <v>0.15761617709528486</v>
      </c>
      <c r="AM51" s="44">
        <f t="shared" si="31"/>
        <v>0.10888826343283584</v>
      </c>
      <c r="AN51" s="44">
        <f t="shared" si="32"/>
        <v>2.356020928358209E-2</v>
      </c>
      <c r="AO51" s="44">
        <f t="shared" si="15"/>
        <v>0.22198620112206272</v>
      </c>
    </row>
    <row r="52" spans="1:41" ht="15.6" x14ac:dyDescent="0.25">
      <c r="A52" s="60"/>
      <c r="B52" s="62" t="s">
        <v>182</v>
      </c>
      <c r="C52" s="74">
        <v>1.458192945</v>
      </c>
      <c r="D52" s="74">
        <v>1.5059103970000001</v>
      </c>
      <c r="E52" s="74">
        <v>1.771983624</v>
      </c>
      <c r="F52" s="74">
        <v>1.9143173689999999</v>
      </c>
      <c r="G52" s="74">
        <v>0.44044268130000003</v>
      </c>
      <c r="H52" s="74">
        <v>1.0388610359999999</v>
      </c>
      <c r="I52" s="74">
        <v>0.34089574220000002</v>
      </c>
      <c r="J52" s="74">
        <v>0.19648998979999999</v>
      </c>
      <c r="K52" s="44">
        <f t="shared" si="12"/>
        <v>1.2946318845602289</v>
      </c>
      <c r="L52" s="58"/>
      <c r="N52">
        <v>0.95</v>
      </c>
      <c r="O52">
        <v>1</v>
      </c>
      <c r="P52">
        <v>0.95</v>
      </c>
      <c r="Q52">
        <v>1</v>
      </c>
      <c r="R52">
        <v>0.95</v>
      </c>
      <c r="S52">
        <v>0.95</v>
      </c>
      <c r="T52">
        <v>1</v>
      </c>
      <c r="U52">
        <v>1</v>
      </c>
      <c r="W52" s="44">
        <f t="shared" si="16"/>
        <v>1.3852832977499998</v>
      </c>
      <c r="X52" s="44">
        <f t="shared" si="17"/>
        <v>1.5059103970000001</v>
      </c>
      <c r="Y52" s="44">
        <f t="shared" si="18"/>
        <v>1.6833844428</v>
      </c>
      <c r="Z52" s="44">
        <f t="shared" si="19"/>
        <v>1.9143173689999999</v>
      </c>
      <c r="AA52" s="44">
        <f t="shared" si="20"/>
        <v>0.418420547235</v>
      </c>
      <c r="AB52" s="44">
        <f t="shared" si="21"/>
        <v>0.98691798419999988</v>
      </c>
      <c r="AC52" s="44">
        <f t="shared" si="22"/>
        <v>0.34089574220000002</v>
      </c>
      <c r="AD52" s="44">
        <f t="shared" si="23"/>
        <v>0.19648998979999999</v>
      </c>
      <c r="AF52" s="61" t="str">
        <f t="shared" si="24"/>
        <v>O9</v>
      </c>
      <c r="AG52" s="44">
        <f t="shared" si="25"/>
        <v>0.18976483530821917</v>
      </c>
      <c r="AH52" s="44">
        <f t="shared" si="26"/>
        <v>0.20628909547945207</v>
      </c>
      <c r="AI52" s="44">
        <f t="shared" si="27"/>
        <v>0.23060060860273973</v>
      </c>
      <c r="AJ52" s="44">
        <f t="shared" si="28"/>
        <v>0.26223525602739728</v>
      </c>
      <c r="AK52" s="44">
        <f t="shared" si="29"/>
        <v>8.2204429712180754E-2</v>
      </c>
      <c r="AL52" s="44">
        <f t="shared" si="30"/>
        <v>0.19389351359528487</v>
      </c>
      <c r="AM52" s="44">
        <f t="shared" si="31"/>
        <v>8.4799935870646784E-2</v>
      </c>
      <c r="AN52" s="44">
        <f t="shared" si="32"/>
        <v>4.8878106915422888E-2</v>
      </c>
      <c r="AO52" s="44">
        <f t="shared" si="15"/>
        <v>0.18562019856592105</v>
      </c>
    </row>
    <row r="53" spans="1:41" ht="15.6" x14ac:dyDescent="0.25">
      <c r="A53" s="57"/>
      <c r="B53" s="62" t="s">
        <v>183</v>
      </c>
      <c r="C53" s="74">
        <v>2.082257271</v>
      </c>
      <c r="D53" s="74">
        <v>2.2785692210000001</v>
      </c>
      <c r="E53" s="74">
        <v>2.2134053709999999</v>
      </c>
      <c r="F53" s="74">
        <v>2.0859735009999998</v>
      </c>
      <c r="G53" s="74">
        <v>0.83476930859999998</v>
      </c>
      <c r="H53" s="74">
        <v>1.345078588</v>
      </c>
      <c r="I53" s="74">
        <v>0.25305590030000003</v>
      </c>
      <c r="J53" s="74">
        <v>0.23103804889999999</v>
      </c>
      <c r="K53" s="44">
        <f t="shared" si="12"/>
        <v>1.6171270814667091</v>
      </c>
      <c r="L53" s="44"/>
      <c r="N53">
        <v>0.95</v>
      </c>
      <c r="O53">
        <v>1</v>
      </c>
      <c r="P53">
        <v>0.95</v>
      </c>
      <c r="Q53">
        <v>1</v>
      </c>
      <c r="R53">
        <v>0.95</v>
      </c>
      <c r="S53">
        <v>0.95</v>
      </c>
      <c r="T53">
        <v>1</v>
      </c>
      <c r="U53">
        <v>1</v>
      </c>
      <c r="W53" s="44">
        <f t="shared" si="16"/>
        <v>1.9781444074499999</v>
      </c>
      <c r="X53" s="44">
        <f t="shared" si="17"/>
        <v>2.2785692210000001</v>
      </c>
      <c r="Y53" s="44">
        <f t="shared" si="18"/>
        <v>2.1027351024499996</v>
      </c>
      <c r="Z53" s="44">
        <f t="shared" si="19"/>
        <v>2.0859735009999998</v>
      </c>
      <c r="AA53" s="44">
        <f t="shared" si="20"/>
        <v>0.79303084316999994</v>
      </c>
      <c r="AB53" s="44">
        <f t="shared" si="21"/>
        <v>1.2778246585999999</v>
      </c>
      <c r="AC53" s="44">
        <f t="shared" si="22"/>
        <v>0.25305590030000003</v>
      </c>
      <c r="AD53" s="44">
        <f t="shared" si="23"/>
        <v>0.23103804889999999</v>
      </c>
      <c r="AF53" s="61" t="str">
        <f t="shared" si="24"/>
        <v>O10</v>
      </c>
      <c r="AG53" s="44">
        <f t="shared" si="25"/>
        <v>0.27097868595205477</v>
      </c>
      <c r="AH53" s="44">
        <f t="shared" si="26"/>
        <v>0.31213277</v>
      </c>
      <c r="AI53" s="44">
        <f t="shared" si="27"/>
        <v>0.28804590444520545</v>
      </c>
      <c r="AJ53" s="44">
        <f t="shared" si="28"/>
        <v>0.28574979465753425</v>
      </c>
      <c r="AK53" s="44">
        <f t="shared" si="29"/>
        <v>0.15580173736149311</v>
      </c>
      <c r="AL53" s="44">
        <f t="shared" si="30"/>
        <v>0.25104610188605109</v>
      </c>
      <c r="AM53" s="44">
        <f t="shared" si="31"/>
        <v>6.2949228930348267E-2</v>
      </c>
      <c r="AN53" s="44">
        <f t="shared" si="32"/>
        <v>5.7472151467661693E-2</v>
      </c>
      <c r="AO53" s="44">
        <f t="shared" si="15"/>
        <v>0.23223007136049481</v>
      </c>
    </row>
    <row r="54" spans="1:41" ht="15.6" x14ac:dyDescent="0.25">
      <c r="A54" s="60"/>
      <c r="B54" s="62" t="s">
        <v>184</v>
      </c>
      <c r="C54" s="74">
        <v>3.0827023979999999</v>
      </c>
      <c r="D54" s="74">
        <v>3.1603951449999999</v>
      </c>
      <c r="E54" s="74">
        <v>2.7577993869999999</v>
      </c>
      <c r="F54" s="74">
        <v>2.352003098</v>
      </c>
      <c r="G54" s="74">
        <v>1.039941311</v>
      </c>
      <c r="H54" s="74">
        <v>1.449798822</v>
      </c>
      <c r="I54" s="74">
        <v>0.17255139350000001</v>
      </c>
      <c r="J54" s="74">
        <v>0.5953162313</v>
      </c>
      <c r="K54" s="44">
        <f t="shared" si="12"/>
        <v>2.0096850770758579</v>
      </c>
      <c r="L54" s="58"/>
      <c r="N54">
        <v>0.95</v>
      </c>
      <c r="O54">
        <v>1</v>
      </c>
      <c r="P54">
        <v>0.95</v>
      </c>
      <c r="Q54">
        <v>1</v>
      </c>
      <c r="R54">
        <v>0.95</v>
      </c>
      <c r="S54">
        <v>0.95</v>
      </c>
      <c r="T54">
        <v>1</v>
      </c>
      <c r="U54">
        <v>1</v>
      </c>
      <c r="W54" s="44">
        <f t="shared" si="16"/>
        <v>2.9285672780999996</v>
      </c>
      <c r="X54" s="44">
        <f t="shared" si="17"/>
        <v>3.1603951449999999</v>
      </c>
      <c r="Y54" s="44">
        <f t="shared" si="18"/>
        <v>2.6199094176499997</v>
      </c>
      <c r="Z54" s="44">
        <f t="shared" si="19"/>
        <v>2.352003098</v>
      </c>
      <c r="AA54" s="44">
        <f t="shared" si="20"/>
        <v>0.98794424544999992</v>
      </c>
      <c r="AB54" s="44">
        <f t="shared" si="21"/>
        <v>1.3773088809</v>
      </c>
      <c r="AC54" s="44">
        <f t="shared" si="22"/>
        <v>0.17255139350000001</v>
      </c>
      <c r="AD54" s="44">
        <f t="shared" si="23"/>
        <v>0.5953162313</v>
      </c>
      <c r="AF54" s="61" t="str">
        <f t="shared" si="24"/>
        <v>O11</v>
      </c>
      <c r="AG54" s="44">
        <f t="shared" si="25"/>
        <v>0.40117359973972599</v>
      </c>
      <c r="AH54" s="44">
        <f t="shared" si="26"/>
        <v>0.43293084178082192</v>
      </c>
      <c r="AI54" s="44">
        <f t="shared" si="27"/>
        <v>0.35889170104794516</v>
      </c>
      <c r="AJ54" s="44">
        <f t="shared" si="28"/>
        <v>0.32219220520547948</v>
      </c>
      <c r="AK54" s="44">
        <f t="shared" si="29"/>
        <v>0.19409513663064831</v>
      </c>
      <c r="AL54" s="44">
        <f t="shared" si="30"/>
        <v>0.27059113573673871</v>
      </c>
      <c r="AM54" s="44">
        <f t="shared" si="31"/>
        <v>4.2923232213930358E-2</v>
      </c>
      <c r="AN54" s="44">
        <f t="shared" si="32"/>
        <v>0.1480886147512438</v>
      </c>
      <c r="AO54" s="44">
        <f t="shared" si="15"/>
        <v>0.28894126671543474</v>
      </c>
    </row>
    <row r="55" spans="1:41" ht="15.6" x14ac:dyDescent="0.25">
      <c r="A55" s="57"/>
      <c r="B55" s="62" t="s">
        <v>185</v>
      </c>
      <c r="C55" s="74">
        <v>2.3808119300000001</v>
      </c>
      <c r="D55" s="74">
        <v>2.3794722560000001</v>
      </c>
      <c r="E55" s="74">
        <v>2.1991124150000001</v>
      </c>
      <c r="F55" s="74">
        <v>1.6094156500000001</v>
      </c>
      <c r="G55" s="74">
        <v>0.91872102020000002</v>
      </c>
      <c r="H55" s="74">
        <v>0.59803932910000002</v>
      </c>
      <c r="I55" s="74">
        <v>0.12865507600000001</v>
      </c>
      <c r="J55" s="74">
        <v>0.83607012030000005</v>
      </c>
      <c r="K55" s="44">
        <f t="shared" si="12"/>
        <v>1.5083132757689961</v>
      </c>
      <c r="L55" s="44"/>
      <c r="N55">
        <v>0.95</v>
      </c>
      <c r="O55">
        <v>1</v>
      </c>
      <c r="P55">
        <v>0.95</v>
      </c>
      <c r="Q55">
        <v>1</v>
      </c>
      <c r="R55">
        <v>0.95</v>
      </c>
      <c r="S55">
        <v>0.95</v>
      </c>
      <c r="T55">
        <v>1</v>
      </c>
      <c r="U55">
        <v>1</v>
      </c>
      <c r="W55" s="44">
        <f t="shared" si="16"/>
        <v>2.2617713335</v>
      </c>
      <c r="X55" s="44">
        <f t="shared" si="17"/>
        <v>2.3794722560000001</v>
      </c>
      <c r="Y55" s="44">
        <f t="shared" si="18"/>
        <v>2.08915679425</v>
      </c>
      <c r="Z55" s="44">
        <f t="shared" si="19"/>
        <v>1.6094156500000001</v>
      </c>
      <c r="AA55" s="44">
        <f t="shared" si="20"/>
        <v>0.87278496918999993</v>
      </c>
      <c r="AB55" s="44">
        <f t="shared" si="21"/>
        <v>0.56813736264500003</v>
      </c>
      <c r="AC55" s="44">
        <f t="shared" si="22"/>
        <v>0.12865507600000001</v>
      </c>
      <c r="AD55" s="44">
        <f t="shared" si="23"/>
        <v>0.83607012030000005</v>
      </c>
      <c r="AF55" s="61" t="str">
        <f t="shared" si="24"/>
        <v>O12</v>
      </c>
      <c r="AG55" s="44">
        <f t="shared" si="25"/>
        <v>0.30983168952054796</v>
      </c>
      <c r="AH55" s="44">
        <f t="shared" si="26"/>
        <v>0.32595510356164387</v>
      </c>
      <c r="AI55" s="44">
        <f t="shared" si="27"/>
        <v>0.28618586222602743</v>
      </c>
      <c r="AJ55" s="44">
        <f t="shared" si="28"/>
        <v>0.22046789726027399</v>
      </c>
      <c r="AK55" s="44">
        <f t="shared" si="29"/>
        <v>0.17147052439882121</v>
      </c>
      <c r="AL55" s="44">
        <f t="shared" si="30"/>
        <v>0.11161834236640472</v>
      </c>
      <c r="AM55" s="44">
        <f t="shared" si="31"/>
        <v>3.2003750248756221E-2</v>
      </c>
      <c r="AN55" s="44">
        <f t="shared" si="32"/>
        <v>0.20797764186567166</v>
      </c>
      <c r="AO55" s="44">
        <f t="shared" si="15"/>
        <v>0.21924718204044469</v>
      </c>
    </row>
    <row r="56" spans="1:41" ht="15.6" x14ac:dyDescent="0.25">
      <c r="A56" s="60"/>
      <c r="B56" s="62" t="s">
        <v>186</v>
      </c>
      <c r="C56" s="74">
        <v>2.7985560889999999</v>
      </c>
      <c r="D56" s="74">
        <v>2.7179629799999998</v>
      </c>
      <c r="E56" s="74">
        <v>2.1006014350000002</v>
      </c>
      <c r="F56" s="74">
        <v>2.9679970739999999</v>
      </c>
      <c r="G56" s="74">
        <v>1.224940538</v>
      </c>
      <c r="H56" s="74">
        <v>1.5547660590000001</v>
      </c>
      <c r="I56" s="74">
        <v>0.25546893479999999</v>
      </c>
      <c r="J56" s="74">
        <v>0.86726439</v>
      </c>
      <c r="K56" s="44">
        <f t="shared" si="12"/>
        <v>2.0642176928482852</v>
      </c>
      <c r="L56" s="58"/>
      <c r="N56">
        <v>0.95</v>
      </c>
      <c r="O56">
        <v>1</v>
      </c>
      <c r="P56">
        <v>0.95</v>
      </c>
      <c r="Q56">
        <v>1</v>
      </c>
      <c r="R56">
        <v>0.95</v>
      </c>
      <c r="S56">
        <v>0.95</v>
      </c>
      <c r="T56">
        <v>1</v>
      </c>
      <c r="U56">
        <v>1</v>
      </c>
      <c r="W56" s="44">
        <f t="shared" si="16"/>
        <v>2.6586282845499998</v>
      </c>
      <c r="X56" s="44">
        <f t="shared" si="17"/>
        <v>2.7179629799999998</v>
      </c>
      <c r="Y56" s="44">
        <f t="shared" si="18"/>
        <v>1.9955713632500001</v>
      </c>
      <c r="Z56" s="44">
        <f t="shared" si="19"/>
        <v>2.9679970739999999</v>
      </c>
      <c r="AA56" s="44">
        <f t="shared" si="20"/>
        <v>1.1636935111</v>
      </c>
      <c r="AB56" s="44">
        <f t="shared" si="21"/>
        <v>1.47702775605</v>
      </c>
      <c r="AC56" s="44">
        <f t="shared" si="22"/>
        <v>0.25546893479999999</v>
      </c>
      <c r="AD56" s="44">
        <f t="shared" si="23"/>
        <v>0.86726439</v>
      </c>
      <c r="AF56" s="61" t="str">
        <f t="shared" si="24"/>
        <v>O13</v>
      </c>
      <c r="AG56" s="44">
        <f t="shared" si="25"/>
        <v>0.36419565541780818</v>
      </c>
      <c r="AH56" s="44">
        <f t="shared" si="26"/>
        <v>0.37232369589041092</v>
      </c>
      <c r="AI56" s="44">
        <f t="shared" si="27"/>
        <v>0.27336594017123289</v>
      </c>
      <c r="AJ56" s="44">
        <f t="shared" si="28"/>
        <v>0.40657494164383562</v>
      </c>
      <c r="AK56" s="44">
        <f t="shared" si="29"/>
        <v>0.22862347958742632</v>
      </c>
      <c r="AL56" s="44">
        <f t="shared" si="30"/>
        <v>0.29018227034381139</v>
      </c>
      <c r="AM56" s="44">
        <f t="shared" si="31"/>
        <v>6.3549486268656724E-2</v>
      </c>
      <c r="AN56" s="44">
        <f t="shared" si="32"/>
        <v>0.21573741044776121</v>
      </c>
      <c r="AO56" s="44">
        <f t="shared" si="15"/>
        <v>0.30201851498029741</v>
      </c>
    </row>
    <row r="57" spans="1:41" ht="15.6" x14ac:dyDescent="0.25">
      <c r="A57" s="57"/>
      <c r="B57" s="62" t="s">
        <v>187</v>
      </c>
      <c r="C57" s="74">
        <v>1.7430268529999999</v>
      </c>
      <c r="D57" s="74">
        <v>2.1840102670000001</v>
      </c>
      <c r="E57" s="74">
        <v>1.8795049189999999</v>
      </c>
      <c r="F57" s="74">
        <v>1.5965775250000001</v>
      </c>
      <c r="G57" s="74">
        <v>1.114860177</v>
      </c>
      <c r="H57" s="74">
        <v>1.0442969799999999</v>
      </c>
      <c r="I57" s="74">
        <v>0.57350641489999998</v>
      </c>
      <c r="J57" s="74">
        <v>0.78820949789999994</v>
      </c>
      <c r="K57" s="44">
        <f t="shared" si="12"/>
        <v>1.4686518777597204</v>
      </c>
      <c r="L57" s="44"/>
      <c r="N57">
        <v>0.95</v>
      </c>
      <c r="O57">
        <v>1</v>
      </c>
      <c r="P57">
        <v>0.95</v>
      </c>
      <c r="Q57">
        <v>1</v>
      </c>
      <c r="R57">
        <v>0.95</v>
      </c>
      <c r="S57">
        <v>0.95</v>
      </c>
      <c r="T57">
        <v>1</v>
      </c>
      <c r="U57">
        <v>1</v>
      </c>
      <c r="W57" s="44">
        <f t="shared" si="16"/>
        <v>1.6558755103499998</v>
      </c>
      <c r="X57" s="44">
        <f t="shared" si="17"/>
        <v>2.1840102670000001</v>
      </c>
      <c r="Y57" s="44">
        <f t="shared" si="18"/>
        <v>1.7855296730499999</v>
      </c>
      <c r="Z57" s="44">
        <f t="shared" si="19"/>
        <v>1.5965775250000001</v>
      </c>
      <c r="AA57" s="44">
        <f t="shared" si="20"/>
        <v>1.05911716815</v>
      </c>
      <c r="AB57" s="44">
        <f t="shared" si="21"/>
        <v>0.99208213099999987</v>
      </c>
      <c r="AC57" s="44">
        <f t="shared" si="22"/>
        <v>0.57350641489999998</v>
      </c>
      <c r="AD57" s="44">
        <f t="shared" si="23"/>
        <v>0.78820949789999994</v>
      </c>
      <c r="AF57" s="61" t="str">
        <f t="shared" si="24"/>
        <v>O14</v>
      </c>
      <c r="AG57" s="44">
        <f t="shared" si="25"/>
        <v>0.22683226169178081</v>
      </c>
      <c r="AH57" s="44">
        <f t="shared" si="26"/>
        <v>0.29917948863013699</v>
      </c>
      <c r="AI57" s="44">
        <f t="shared" si="27"/>
        <v>0.24459310589726027</v>
      </c>
      <c r="AJ57" s="44">
        <f t="shared" si="28"/>
        <v>0.21870925000000002</v>
      </c>
      <c r="AK57" s="44">
        <f t="shared" si="29"/>
        <v>0.20807802910609038</v>
      </c>
      <c r="AL57" s="44">
        <f t="shared" si="30"/>
        <v>0.19490808074656188</v>
      </c>
      <c r="AM57" s="44">
        <f t="shared" si="31"/>
        <v>0.14266328728855723</v>
      </c>
      <c r="AN57" s="44">
        <f t="shared" si="32"/>
        <v>0.19607201440298508</v>
      </c>
      <c r="AO57" s="44">
        <f t="shared" si="15"/>
        <v>0.22092399916990596</v>
      </c>
    </row>
    <row r="58" spans="1:41" ht="15.6" x14ac:dyDescent="0.25">
      <c r="A58" s="60"/>
      <c r="B58" s="62" t="s">
        <v>188</v>
      </c>
      <c r="C58" s="74">
        <v>2.553316116</v>
      </c>
      <c r="D58" s="74">
        <v>1.817101598</v>
      </c>
      <c r="E58" s="74">
        <v>1.405098081</v>
      </c>
      <c r="F58" s="74">
        <v>1.9905151130000001</v>
      </c>
      <c r="G58" s="74">
        <v>1.3778086899999999</v>
      </c>
      <c r="H58" s="74">
        <v>1.4131838080000001</v>
      </c>
      <c r="I58" s="74">
        <v>0.73620295520000001</v>
      </c>
      <c r="J58" s="74">
        <v>0.28221732379999998</v>
      </c>
      <c r="K58" s="44">
        <f t="shared" si="12"/>
        <v>1.5610705819944095</v>
      </c>
      <c r="L58" s="58"/>
      <c r="N58">
        <v>0.95</v>
      </c>
      <c r="O58">
        <v>1</v>
      </c>
      <c r="P58">
        <v>0.95</v>
      </c>
      <c r="Q58">
        <v>1</v>
      </c>
      <c r="R58">
        <v>0.95</v>
      </c>
      <c r="S58">
        <v>0.95</v>
      </c>
      <c r="T58">
        <v>1</v>
      </c>
      <c r="U58">
        <v>1</v>
      </c>
      <c r="W58" s="44">
        <f t="shared" si="16"/>
        <v>2.4256503102</v>
      </c>
      <c r="X58" s="44">
        <f t="shared" si="17"/>
        <v>1.817101598</v>
      </c>
      <c r="Y58" s="44">
        <f t="shared" si="18"/>
        <v>1.33484317695</v>
      </c>
      <c r="Z58" s="44">
        <f t="shared" si="19"/>
        <v>1.9905151130000001</v>
      </c>
      <c r="AA58" s="44">
        <f t="shared" si="20"/>
        <v>1.3089182554999998</v>
      </c>
      <c r="AB58" s="44">
        <f t="shared" si="21"/>
        <v>1.3425246176000001</v>
      </c>
      <c r="AC58" s="44">
        <f t="shared" si="22"/>
        <v>0.73620295520000001</v>
      </c>
      <c r="AD58" s="44">
        <f t="shared" si="23"/>
        <v>0.28221732379999998</v>
      </c>
      <c r="AF58" s="61" t="str">
        <f t="shared" si="24"/>
        <v>O15</v>
      </c>
      <c r="AG58" s="44">
        <f t="shared" si="25"/>
        <v>0.33228086441095889</v>
      </c>
      <c r="AH58" s="44">
        <f t="shared" si="26"/>
        <v>0.24891802712328767</v>
      </c>
      <c r="AI58" s="44">
        <f t="shared" si="27"/>
        <v>0.18285522971917809</v>
      </c>
      <c r="AJ58" s="44">
        <f t="shared" si="28"/>
        <v>0.27267330315068494</v>
      </c>
      <c r="AK58" s="44">
        <f t="shared" si="29"/>
        <v>0.2571548635559921</v>
      </c>
      <c r="AL58" s="44">
        <f t="shared" si="30"/>
        <v>0.26375729225933203</v>
      </c>
      <c r="AM58" s="44">
        <f t="shared" si="31"/>
        <v>0.1831350634825871</v>
      </c>
      <c r="AN58" s="44">
        <f t="shared" si="32"/>
        <v>7.0203314378109449E-2</v>
      </c>
      <c r="AO58" s="44">
        <f t="shared" si="15"/>
        <v>0.23399977635160865</v>
      </c>
    </row>
    <row r="59" spans="1:41" ht="15.6" x14ac:dyDescent="0.25">
      <c r="A59" s="57"/>
      <c r="B59" s="62" t="s">
        <v>189</v>
      </c>
      <c r="C59" s="74">
        <v>2.4011271000000001</v>
      </c>
      <c r="D59" s="74">
        <v>1.5620874170000001</v>
      </c>
      <c r="E59" s="74">
        <v>0.96379041669999999</v>
      </c>
      <c r="F59" s="74">
        <v>1.915160298</v>
      </c>
      <c r="G59" s="74">
        <v>1.017004013</v>
      </c>
      <c r="H59" s="74">
        <v>1.138416052</v>
      </c>
      <c r="I59" s="74">
        <v>0.51431721450000001</v>
      </c>
      <c r="J59" s="74">
        <v>0.56892830130000005</v>
      </c>
      <c r="K59" s="44">
        <f t="shared" si="12"/>
        <v>1.3592211632207116</v>
      </c>
      <c r="L59" s="44"/>
      <c r="N59">
        <v>0.95</v>
      </c>
      <c r="O59">
        <v>1</v>
      </c>
      <c r="P59">
        <v>0.95</v>
      </c>
      <c r="Q59">
        <v>1</v>
      </c>
      <c r="R59">
        <v>0.95</v>
      </c>
      <c r="S59">
        <v>0.95</v>
      </c>
      <c r="T59">
        <v>1</v>
      </c>
      <c r="U59">
        <v>1</v>
      </c>
      <c r="W59" s="44">
        <f t="shared" si="16"/>
        <v>2.2810707450000001</v>
      </c>
      <c r="X59" s="44">
        <f t="shared" si="17"/>
        <v>1.5620874170000001</v>
      </c>
      <c r="Y59" s="44">
        <f t="shared" si="18"/>
        <v>0.91560089586499993</v>
      </c>
      <c r="Z59" s="44">
        <f t="shared" si="19"/>
        <v>1.915160298</v>
      </c>
      <c r="AA59" s="44">
        <f t="shared" si="20"/>
        <v>0.96615381234999997</v>
      </c>
      <c r="AB59" s="44">
        <f t="shared" si="21"/>
        <v>1.0814952493999999</v>
      </c>
      <c r="AC59" s="44">
        <f t="shared" si="22"/>
        <v>0.51431721450000001</v>
      </c>
      <c r="AD59" s="44">
        <f t="shared" si="23"/>
        <v>0.56892830130000005</v>
      </c>
      <c r="AF59" s="61" t="str">
        <f t="shared" si="24"/>
        <v>O16</v>
      </c>
      <c r="AG59" s="44">
        <f t="shared" si="25"/>
        <v>0.31247544452054798</v>
      </c>
      <c r="AH59" s="44">
        <f t="shared" si="26"/>
        <v>0.21398457767123288</v>
      </c>
      <c r="AI59" s="44">
        <f t="shared" si="27"/>
        <v>0.12542478025547946</v>
      </c>
      <c r="AJ59" s="44">
        <f t="shared" si="28"/>
        <v>0.26235072575342466</v>
      </c>
      <c r="AK59" s="44">
        <f t="shared" si="29"/>
        <v>0.18981410851669941</v>
      </c>
      <c r="AL59" s="44">
        <f t="shared" si="30"/>
        <v>0.21247450872298623</v>
      </c>
      <c r="AM59" s="44">
        <f t="shared" si="31"/>
        <v>0.12793960559701495</v>
      </c>
      <c r="AN59" s="44">
        <f t="shared" si="32"/>
        <v>0.14152445305970152</v>
      </c>
      <c r="AO59" s="44">
        <f t="shared" si="15"/>
        <v>0.2039706808567523</v>
      </c>
    </row>
    <row r="60" spans="1:41" ht="15.6" x14ac:dyDescent="0.25">
      <c r="A60" s="60"/>
      <c r="B60" s="62" t="s">
        <v>190</v>
      </c>
      <c r="C60" s="74">
        <v>2.5837683679999999</v>
      </c>
      <c r="D60" s="74">
        <v>2.2314116949999998</v>
      </c>
      <c r="E60" s="74">
        <v>2.1801316740000001</v>
      </c>
      <c r="F60" s="74">
        <v>2.6616621020000002</v>
      </c>
      <c r="G60" s="74">
        <v>0.159419328</v>
      </c>
      <c r="H60" s="74">
        <v>0.48101964590000001</v>
      </c>
      <c r="I60" s="74">
        <v>0.54935282470000002</v>
      </c>
      <c r="J60" s="74">
        <v>0.27096790079999999</v>
      </c>
      <c r="K60" s="44">
        <f t="shared" si="12"/>
        <v>1.6830065241388821</v>
      </c>
      <c r="L60" s="58"/>
      <c r="N60">
        <v>0.95</v>
      </c>
      <c r="O60">
        <v>1</v>
      </c>
      <c r="P60">
        <v>0.95</v>
      </c>
      <c r="Q60">
        <v>1</v>
      </c>
      <c r="R60">
        <v>0.95</v>
      </c>
      <c r="S60">
        <v>0.95</v>
      </c>
      <c r="T60">
        <v>1</v>
      </c>
      <c r="U60">
        <v>1</v>
      </c>
      <c r="W60" s="44">
        <f t="shared" si="16"/>
        <v>2.4545799495999998</v>
      </c>
      <c r="X60" s="44">
        <f t="shared" si="17"/>
        <v>2.2314116949999998</v>
      </c>
      <c r="Y60" s="44">
        <f t="shared" si="18"/>
        <v>2.0711250902999998</v>
      </c>
      <c r="Z60" s="44">
        <f t="shared" si="19"/>
        <v>2.6616621020000002</v>
      </c>
      <c r="AA60" s="44">
        <f t="shared" si="20"/>
        <v>0.1514483616</v>
      </c>
      <c r="AB60" s="44">
        <f t="shared" si="21"/>
        <v>0.45696866360499999</v>
      </c>
      <c r="AC60" s="44">
        <f t="shared" si="22"/>
        <v>0.54935282470000002</v>
      </c>
      <c r="AD60" s="44">
        <f t="shared" si="23"/>
        <v>0.27096790079999999</v>
      </c>
      <c r="AF60" s="61" t="str">
        <f t="shared" si="24"/>
        <v>O17</v>
      </c>
      <c r="AG60" s="44">
        <f t="shared" si="25"/>
        <v>0.33624382871232877</v>
      </c>
      <c r="AH60" s="44">
        <f t="shared" si="26"/>
        <v>0.30567283493150682</v>
      </c>
      <c r="AI60" s="44">
        <f t="shared" si="27"/>
        <v>0.28371576579452051</v>
      </c>
      <c r="AJ60" s="44">
        <f t="shared" si="28"/>
        <v>0.36461124684931512</v>
      </c>
      <c r="AK60" s="44">
        <f t="shared" si="29"/>
        <v>2.975409854616896E-2</v>
      </c>
      <c r="AL60" s="44">
        <f t="shared" si="30"/>
        <v>8.9777733517681729E-2</v>
      </c>
      <c r="AM60" s="44">
        <f t="shared" si="31"/>
        <v>0.13665493151741295</v>
      </c>
      <c r="AN60" s="44">
        <f t="shared" si="32"/>
        <v>6.7404950447761194E-2</v>
      </c>
      <c r="AO60" s="44">
        <f t="shared" si="15"/>
        <v>0.23635345540550798</v>
      </c>
    </row>
    <row r="61" spans="1:41" ht="15.6" x14ac:dyDescent="0.25">
      <c r="A61" s="57"/>
      <c r="B61" s="62" t="s">
        <v>191</v>
      </c>
      <c r="C61" s="74">
        <v>2.4192819600000002</v>
      </c>
      <c r="D61" s="74">
        <v>2.257607937</v>
      </c>
      <c r="E61" s="74">
        <v>2.5319435600000002</v>
      </c>
      <c r="F61" s="74">
        <v>3.096666098</v>
      </c>
      <c r="G61" s="74">
        <v>0.57364028690000002</v>
      </c>
      <c r="H61" s="74">
        <v>0.29155668620000003</v>
      </c>
      <c r="I61" s="74">
        <v>1.2111457590000001</v>
      </c>
      <c r="J61" s="74">
        <v>1.089873672</v>
      </c>
      <c r="K61" s="44">
        <f t="shared" si="12"/>
        <v>2.01892825049873</v>
      </c>
      <c r="L61" s="44"/>
      <c r="N61">
        <v>0.95</v>
      </c>
      <c r="O61">
        <v>1</v>
      </c>
      <c r="P61">
        <v>0.95</v>
      </c>
      <c r="Q61">
        <v>1</v>
      </c>
      <c r="R61">
        <v>0.95</v>
      </c>
      <c r="S61">
        <v>0.95</v>
      </c>
      <c r="T61">
        <v>1</v>
      </c>
      <c r="U61">
        <v>1</v>
      </c>
      <c r="W61" s="44">
        <f t="shared" si="16"/>
        <v>2.2983178620000002</v>
      </c>
      <c r="X61" s="44">
        <f t="shared" si="17"/>
        <v>2.257607937</v>
      </c>
      <c r="Y61" s="44">
        <f t="shared" si="18"/>
        <v>2.4053463820000003</v>
      </c>
      <c r="Z61" s="44">
        <f t="shared" si="19"/>
        <v>3.096666098</v>
      </c>
      <c r="AA61" s="44">
        <f t="shared" si="20"/>
        <v>0.54495827255499996</v>
      </c>
      <c r="AB61" s="44">
        <f t="shared" si="21"/>
        <v>0.27697885188999999</v>
      </c>
      <c r="AC61" s="44">
        <f t="shared" si="22"/>
        <v>1.2111457590000001</v>
      </c>
      <c r="AD61" s="44">
        <f t="shared" si="23"/>
        <v>1.089873672</v>
      </c>
      <c r="AF61" s="61" t="str">
        <f t="shared" si="24"/>
        <v>O18</v>
      </c>
      <c r="AG61" s="44">
        <f t="shared" si="25"/>
        <v>0.31483806328767128</v>
      </c>
      <c r="AH61" s="44">
        <f t="shared" si="26"/>
        <v>0.30926136123287673</v>
      </c>
      <c r="AI61" s="44">
        <f t="shared" si="27"/>
        <v>0.32949950438356168</v>
      </c>
      <c r="AJ61" s="44">
        <f t="shared" si="28"/>
        <v>0.42420083534246578</v>
      </c>
      <c r="AK61" s="44">
        <f t="shared" si="29"/>
        <v>0.10706449362573674</v>
      </c>
      <c r="AL61" s="44">
        <f t="shared" si="30"/>
        <v>5.4416277385068761E-2</v>
      </c>
      <c r="AM61" s="44">
        <f t="shared" si="31"/>
        <v>0.30128003955223887</v>
      </c>
      <c r="AN61" s="44">
        <f t="shared" si="32"/>
        <v>0.27111285373134331</v>
      </c>
      <c r="AO61" s="44">
        <f t="shared" si="15"/>
        <v>0.29698519211722169</v>
      </c>
    </row>
    <row r="62" spans="1:41" ht="15.6" x14ac:dyDescent="0.25">
      <c r="A62" s="60"/>
      <c r="B62" s="62" t="s">
        <v>192</v>
      </c>
      <c r="C62" s="74">
        <v>0.29796051979999999</v>
      </c>
      <c r="D62" s="74">
        <v>0.3126473427</v>
      </c>
      <c r="E62" s="74">
        <v>0.31225663419999999</v>
      </c>
      <c r="F62" s="74">
        <v>2.157679796</v>
      </c>
      <c r="G62" s="74">
        <v>0.62322854999999999</v>
      </c>
      <c r="H62" s="74">
        <v>0.46198043230000002</v>
      </c>
      <c r="I62" s="74">
        <v>0.42355993390000002</v>
      </c>
      <c r="J62" s="74">
        <v>1.0001523489999999</v>
      </c>
      <c r="K62" s="44">
        <f t="shared" si="12"/>
        <v>0.95306697470864044</v>
      </c>
      <c r="L62" s="58"/>
      <c r="N62">
        <v>0.95</v>
      </c>
      <c r="O62">
        <v>1</v>
      </c>
      <c r="P62">
        <v>0.95</v>
      </c>
      <c r="Q62">
        <v>1</v>
      </c>
      <c r="R62">
        <v>0.95</v>
      </c>
      <c r="S62">
        <v>0.95</v>
      </c>
      <c r="T62">
        <v>1</v>
      </c>
      <c r="U62">
        <v>1</v>
      </c>
      <c r="W62" s="44">
        <f t="shared" si="16"/>
        <v>0.28306249380999998</v>
      </c>
      <c r="X62" s="44">
        <f t="shared" si="17"/>
        <v>0.3126473427</v>
      </c>
      <c r="Y62" s="44">
        <f t="shared" si="18"/>
        <v>0.29664380249</v>
      </c>
      <c r="Z62" s="44">
        <f t="shared" si="19"/>
        <v>2.157679796</v>
      </c>
      <c r="AA62" s="44">
        <f t="shared" si="20"/>
        <v>0.59206712249999993</v>
      </c>
      <c r="AB62" s="44">
        <f t="shared" si="21"/>
        <v>0.43888141068499997</v>
      </c>
      <c r="AC62" s="44">
        <f t="shared" si="22"/>
        <v>0.42355993390000002</v>
      </c>
      <c r="AD62" s="44">
        <f t="shared" si="23"/>
        <v>1.0001523489999999</v>
      </c>
      <c r="AF62" s="61" t="str">
        <f t="shared" si="24"/>
        <v>O19</v>
      </c>
      <c r="AG62" s="44">
        <f t="shared" si="25"/>
        <v>3.8775684083561641E-2</v>
      </c>
      <c r="AH62" s="44">
        <f t="shared" si="26"/>
        <v>4.282840310958904E-2</v>
      </c>
      <c r="AI62" s="44">
        <f t="shared" si="27"/>
        <v>4.0636137327397258E-2</v>
      </c>
      <c r="AJ62" s="44">
        <f t="shared" si="28"/>
        <v>0.29557257479452054</v>
      </c>
      <c r="AK62" s="44">
        <f t="shared" si="29"/>
        <v>0.11631967043222002</v>
      </c>
      <c r="AL62" s="44">
        <f t="shared" si="30"/>
        <v>8.6224245714145387E-2</v>
      </c>
      <c r="AM62" s="44">
        <f t="shared" si="31"/>
        <v>0.10536316763681594</v>
      </c>
      <c r="AN62" s="44">
        <f t="shared" si="32"/>
        <v>0.24879411666666668</v>
      </c>
      <c r="AO62" s="44">
        <f t="shared" si="15"/>
        <v>0.14803799445701502</v>
      </c>
    </row>
    <row r="63" spans="1:41" ht="15.6" x14ac:dyDescent="0.25">
      <c r="A63" s="57"/>
      <c r="B63" s="62" t="s">
        <v>193</v>
      </c>
      <c r="C63" s="74">
        <v>0.72208702560000004</v>
      </c>
      <c r="D63" s="74">
        <v>0.61553001399999996</v>
      </c>
      <c r="E63" s="74">
        <v>0.39563417429999997</v>
      </c>
      <c r="F63" s="74">
        <v>2.521695137</v>
      </c>
      <c r="G63" s="74">
        <v>1.3938966989999999</v>
      </c>
      <c r="H63" s="74">
        <v>1.5124198200000001</v>
      </c>
      <c r="I63" s="74">
        <v>0.75926387309999999</v>
      </c>
      <c r="J63" s="74">
        <v>0.97012102600000005</v>
      </c>
      <c r="K63" s="44">
        <f t="shared" si="12"/>
        <v>1.3377256220683611</v>
      </c>
      <c r="L63" s="44"/>
      <c r="N63">
        <v>0.95</v>
      </c>
      <c r="O63">
        <v>1</v>
      </c>
      <c r="P63">
        <v>0.95</v>
      </c>
      <c r="Q63">
        <v>1</v>
      </c>
      <c r="R63">
        <v>0.95</v>
      </c>
      <c r="S63">
        <v>0.95</v>
      </c>
      <c r="T63">
        <v>1</v>
      </c>
      <c r="U63">
        <v>1</v>
      </c>
      <c r="W63" s="44">
        <f t="shared" si="16"/>
        <v>0.68598267432000004</v>
      </c>
      <c r="X63" s="44">
        <f t="shared" si="17"/>
        <v>0.61553001399999996</v>
      </c>
      <c r="Y63" s="44">
        <f t="shared" si="18"/>
        <v>0.37585246558499996</v>
      </c>
      <c r="Z63" s="44">
        <f t="shared" si="19"/>
        <v>2.521695137</v>
      </c>
      <c r="AA63" s="44">
        <f t="shared" si="20"/>
        <v>1.32420186405</v>
      </c>
      <c r="AB63" s="44">
        <f t="shared" si="21"/>
        <v>1.436798829</v>
      </c>
      <c r="AC63" s="44">
        <f t="shared" si="22"/>
        <v>0.75926387309999999</v>
      </c>
      <c r="AD63" s="44">
        <f t="shared" si="23"/>
        <v>0.97012102600000005</v>
      </c>
      <c r="AF63" s="61" t="str">
        <f t="shared" si="24"/>
        <v>O20</v>
      </c>
      <c r="AG63" s="44">
        <f t="shared" si="25"/>
        <v>9.3970229358904117E-2</v>
      </c>
      <c r="AH63" s="44">
        <f t="shared" si="26"/>
        <v>8.4319179999999994E-2</v>
      </c>
      <c r="AI63" s="44">
        <f t="shared" si="27"/>
        <v>5.1486639121232872E-2</v>
      </c>
      <c r="AJ63" s="44">
        <f t="shared" si="28"/>
        <v>0.34543769000000002</v>
      </c>
      <c r="AK63" s="44">
        <f t="shared" si="29"/>
        <v>0.26015753714145384</v>
      </c>
      <c r="AL63" s="44">
        <f t="shared" si="30"/>
        <v>0.28227874833005895</v>
      </c>
      <c r="AM63" s="44">
        <f t="shared" si="31"/>
        <v>0.1888716102238806</v>
      </c>
      <c r="AN63" s="44">
        <f t="shared" si="32"/>
        <v>0.24132363830845774</v>
      </c>
      <c r="AO63" s="44">
        <f t="shared" si="15"/>
        <v>0.21201835600526034</v>
      </c>
    </row>
    <row r="64" spans="1:41" ht="15.6" x14ac:dyDescent="0.25">
      <c r="A64" s="60"/>
      <c r="B64" s="62" t="s">
        <v>194</v>
      </c>
      <c r="C64" s="74">
        <v>2.6918189529999998</v>
      </c>
      <c r="D64" s="74">
        <v>2.4347863200000002</v>
      </c>
      <c r="E64" s="74">
        <v>2.1020550729999998</v>
      </c>
      <c r="F64" s="74">
        <v>2.515287399</v>
      </c>
      <c r="G64" s="74">
        <v>0.69248014690000004</v>
      </c>
      <c r="H64" s="74">
        <v>0.94557416439999997</v>
      </c>
      <c r="I64" s="74">
        <v>0.63012993340000001</v>
      </c>
      <c r="J64" s="74">
        <v>0.75199311970000005</v>
      </c>
      <c r="K64" s="44">
        <f t="shared" si="12"/>
        <v>1.8041784858960614</v>
      </c>
      <c r="L64" s="58"/>
      <c r="N64">
        <v>0.95</v>
      </c>
      <c r="O64">
        <v>1</v>
      </c>
      <c r="P64">
        <v>0.95</v>
      </c>
      <c r="Q64">
        <v>1</v>
      </c>
      <c r="R64">
        <v>0.95</v>
      </c>
      <c r="S64">
        <v>0.95</v>
      </c>
      <c r="T64">
        <v>1</v>
      </c>
      <c r="U64">
        <v>1</v>
      </c>
      <c r="W64" s="44">
        <f t="shared" si="16"/>
        <v>2.5572280053499998</v>
      </c>
      <c r="X64" s="44">
        <f t="shared" si="17"/>
        <v>2.4347863200000002</v>
      </c>
      <c r="Y64" s="44">
        <f t="shared" si="18"/>
        <v>1.9969523193499998</v>
      </c>
      <c r="Z64" s="44">
        <f t="shared" si="19"/>
        <v>2.515287399</v>
      </c>
      <c r="AA64" s="44">
        <f t="shared" si="20"/>
        <v>0.657856139555</v>
      </c>
      <c r="AB64" s="44">
        <f t="shared" si="21"/>
        <v>0.89829545617999995</v>
      </c>
      <c r="AC64" s="44">
        <f t="shared" si="22"/>
        <v>0.63012993340000001</v>
      </c>
      <c r="AD64" s="44">
        <f t="shared" si="23"/>
        <v>0.75199311970000005</v>
      </c>
      <c r="AF64" s="61" t="str">
        <f t="shared" si="24"/>
        <v>O21</v>
      </c>
      <c r="AG64" s="44">
        <f t="shared" si="25"/>
        <v>0.35030520621232875</v>
      </c>
      <c r="AH64" s="44">
        <f t="shared" si="26"/>
        <v>0.33353237260273977</v>
      </c>
      <c r="AI64" s="44">
        <f t="shared" si="27"/>
        <v>0.27355511223972601</v>
      </c>
      <c r="AJ64" s="44">
        <f t="shared" si="28"/>
        <v>0.3445599176712329</v>
      </c>
      <c r="AK64" s="44">
        <f t="shared" si="29"/>
        <v>0.12924482113064834</v>
      </c>
      <c r="AL64" s="44">
        <f t="shared" si="30"/>
        <v>0.17648240789390962</v>
      </c>
      <c r="AM64" s="44">
        <f t="shared" si="31"/>
        <v>0.15674873965174133</v>
      </c>
      <c r="AN64" s="44">
        <f t="shared" si="32"/>
        <v>0.18706296509950252</v>
      </c>
      <c r="AO64" s="44">
        <f t="shared" si="15"/>
        <v>0.26301862090153383</v>
      </c>
    </row>
    <row r="65" spans="1:41" ht="15.6" x14ac:dyDescent="0.25">
      <c r="A65" s="57"/>
      <c r="B65" s="62" t="s">
        <v>195</v>
      </c>
      <c r="C65" s="74">
        <v>0.2882328629</v>
      </c>
      <c r="D65" s="74">
        <v>0.42334729430000001</v>
      </c>
      <c r="E65" s="74">
        <v>0.1590338647</v>
      </c>
      <c r="F65" s="74">
        <v>2.919822693</v>
      </c>
      <c r="G65" s="74">
        <v>0.78313434120000003</v>
      </c>
      <c r="H65" s="74">
        <v>1.160157442</v>
      </c>
      <c r="I65" s="74">
        <v>0.14629502589999999</v>
      </c>
      <c r="J65" s="74">
        <v>0.1243554503</v>
      </c>
      <c r="K65" s="44">
        <f t="shared" si="12"/>
        <v>1.1357115190081324</v>
      </c>
      <c r="L65" s="44"/>
      <c r="N65">
        <v>0.95</v>
      </c>
      <c r="O65">
        <v>1</v>
      </c>
      <c r="P65">
        <v>0.95</v>
      </c>
      <c r="Q65">
        <v>1</v>
      </c>
      <c r="R65">
        <v>0.95</v>
      </c>
      <c r="S65">
        <v>0.95</v>
      </c>
      <c r="T65">
        <v>1</v>
      </c>
      <c r="U65">
        <v>1</v>
      </c>
      <c r="W65" s="44">
        <f t="shared" si="16"/>
        <v>0.27382121975500001</v>
      </c>
      <c r="X65" s="44">
        <f t="shared" si="17"/>
        <v>0.42334729430000001</v>
      </c>
      <c r="Y65" s="44">
        <f t="shared" si="18"/>
        <v>0.151082171465</v>
      </c>
      <c r="Z65" s="44">
        <f t="shared" si="19"/>
        <v>2.919822693</v>
      </c>
      <c r="AA65" s="44">
        <f t="shared" si="20"/>
        <v>0.74397762414000002</v>
      </c>
      <c r="AB65" s="44">
        <f t="shared" si="21"/>
        <v>1.1021495698999999</v>
      </c>
      <c r="AC65" s="44">
        <f t="shared" si="22"/>
        <v>0.14629502589999999</v>
      </c>
      <c r="AD65" s="44">
        <f t="shared" si="23"/>
        <v>0.1243554503</v>
      </c>
      <c r="AF65" s="61" t="str">
        <f t="shared" si="24"/>
        <v>O22</v>
      </c>
      <c r="AG65" s="44">
        <f t="shared" si="25"/>
        <v>3.7509756130821921E-2</v>
      </c>
      <c r="AH65" s="44">
        <f t="shared" si="26"/>
        <v>5.7992780041095891E-2</v>
      </c>
      <c r="AI65" s="44">
        <f t="shared" si="27"/>
        <v>2.069618787191781E-2</v>
      </c>
      <c r="AJ65" s="44">
        <f t="shared" si="28"/>
        <v>0.39997571136986304</v>
      </c>
      <c r="AK65" s="44">
        <f t="shared" si="29"/>
        <v>0.14616456269941061</v>
      </c>
      <c r="AL65" s="44">
        <f t="shared" si="30"/>
        <v>0.21653233200392927</v>
      </c>
      <c r="AM65" s="44">
        <f t="shared" si="31"/>
        <v>3.6391797487562189E-2</v>
      </c>
      <c r="AN65" s="44">
        <f t="shared" si="32"/>
        <v>3.0934191616915428E-2</v>
      </c>
      <c r="AO65" s="44">
        <f t="shared" si="15"/>
        <v>0.16692431584861603</v>
      </c>
    </row>
    <row r="66" spans="1:41" ht="15.6" x14ac:dyDescent="0.25">
      <c r="A66" s="60"/>
      <c r="B66" s="62" t="s">
        <v>196</v>
      </c>
      <c r="C66" s="74">
        <v>0.38835585119999999</v>
      </c>
      <c r="D66" s="74">
        <v>0.20607718829999999</v>
      </c>
      <c r="E66" s="74">
        <v>0.21805754299999999</v>
      </c>
      <c r="F66" s="74">
        <v>2.3616905209999999</v>
      </c>
      <c r="G66" s="74">
        <v>0.34574031830000002</v>
      </c>
      <c r="H66" s="74">
        <v>0.73887467380000005</v>
      </c>
      <c r="I66" s="74">
        <v>0.39343664049999999</v>
      </c>
      <c r="J66" s="74">
        <v>0.22144193949999999</v>
      </c>
      <c r="K66" s="44">
        <f t="shared" si="12"/>
        <v>0.91010886361270671</v>
      </c>
      <c r="L66" s="58"/>
      <c r="N66">
        <v>0.95</v>
      </c>
      <c r="O66">
        <v>1</v>
      </c>
      <c r="P66">
        <v>0.95</v>
      </c>
      <c r="Q66">
        <v>1</v>
      </c>
      <c r="R66">
        <v>0.95</v>
      </c>
      <c r="S66">
        <v>0.95</v>
      </c>
      <c r="T66">
        <v>1</v>
      </c>
      <c r="U66">
        <v>1</v>
      </c>
      <c r="W66" s="44">
        <f t="shared" si="16"/>
        <v>0.36893805863999996</v>
      </c>
      <c r="X66" s="44">
        <f t="shared" si="17"/>
        <v>0.20607718829999999</v>
      </c>
      <c r="Y66" s="44">
        <f t="shared" si="18"/>
        <v>0.20715466584999997</v>
      </c>
      <c r="Z66" s="44">
        <f t="shared" si="19"/>
        <v>2.3616905209999999</v>
      </c>
      <c r="AA66" s="44">
        <f t="shared" si="20"/>
        <v>0.32845330238499998</v>
      </c>
      <c r="AB66" s="44">
        <f t="shared" si="21"/>
        <v>0.70193094011000001</v>
      </c>
      <c r="AC66" s="44">
        <f t="shared" si="22"/>
        <v>0.39343664049999999</v>
      </c>
      <c r="AD66" s="44">
        <f t="shared" si="23"/>
        <v>0.22144193949999999</v>
      </c>
      <c r="AF66" s="61" t="str">
        <f t="shared" si="24"/>
        <v>O23</v>
      </c>
      <c r="AG66" s="44">
        <f t="shared" si="25"/>
        <v>5.0539460087671226E-2</v>
      </c>
      <c r="AH66" s="44">
        <f t="shared" si="26"/>
        <v>2.8229751821917809E-2</v>
      </c>
      <c r="AI66" s="44">
        <f t="shared" si="27"/>
        <v>2.8377351486301366E-2</v>
      </c>
      <c r="AJ66" s="44">
        <f t="shared" si="28"/>
        <v>0.32351924945205479</v>
      </c>
      <c r="AK66" s="44">
        <f t="shared" si="29"/>
        <v>6.4529136028487227E-2</v>
      </c>
      <c r="AL66" s="44">
        <f t="shared" si="30"/>
        <v>0.13790391750687622</v>
      </c>
      <c r="AM66" s="44">
        <f t="shared" si="31"/>
        <v>9.7869811069651744E-2</v>
      </c>
      <c r="AN66" s="44">
        <f t="shared" si="32"/>
        <v>5.5085059577114431E-2</v>
      </c>
      <c r="AO66" s="44">
        <f t="shared" si="15"/>
        <v>0.1344124740368525</v>
      </c>
    </row>
    <row r="67" spans="1:41" ht="15.6" x14ac:dyDescent="0.25">
      <c r="A67" s="57"/>
      <c r="B67" s="62" t="s">
        <v>197</v>
      </c>
      <c r="C67" s="74">
        <v>2.2265908720000001</v>
      </c>
      <c r="D67" s="74">
        <v>1.7627527709999999</v>
      </c>
      <c r="E67" s="74">
        <v>1.9174933430000001</v>
      </c>
      <c r="F67" s="74">
        <v>3.0107474330000001</v>
      </c>
      <c r="G67" s="74">
        <v>0.76472043990000005</v>
      </c>
      <c r="H67" s="74">
        <v>0.20569646359999999</v>
      </c>
      <c r="I67" s="74">
        <v>1.3337231869999999</v>
      </c>
      <c r="J67" s="74">
        <v>1.2473485470000001</v>
      </c>
      <c r="K67" s="44">
        <f t="shared" si="12"/>
        <v>1.8649666804316398</v>
      </c>
      <c r="L67" s="44"/>
      <c r="N67">
        <v>0.95</v>
      </c>
      <c r="O67">
        <v>1</v>
      </c>
      <c r="P67">
        <v>0.95</v>
      </c>
      <c r="Q67">
        <v>1</v>
      </c>
      <c r="R67">
        <v>0.95</v>
      </c>
      <c r="S67">
        <v>0.95</v>
      </c>
      <c r="T67">
        <v>1</v>
      </c>
      <c r="U67">
        <v>1</v>
      </c>
      <c r="W67" s="44">
        <f t="shared" si="16"/>
        <v>2.1152613283999999</v>
      </c>
      <c r="X67" s="44">
        <f t="shared" si="17"/>
        <v>1.7627527709999999</v>
      </c>
      <c r="Y67" s="44">
        <f t="shared" si="18"/>
        <v>1.8216186758499999</v>
      </c>
      <c r="Z67" s="44">
        <f t="shared" si="19"/>
        <v>3.0107474330000001</v>
      </c>
      <c r="AA67" s="44">
        <f t="shared" si="20"/>
        <v>0.72648441790499996</v>
      </c>
      <c r="AB67" s="44">
        <f t="shared" si="21"/>
        <v>0.19541164041999998</v>
      </c>
      <c r="AC67" s="44">
        <f t="shared" si="22"/>
        <v>1.3337231869999999</v>
      </c>
      <c r="AD67" s="44">
        <f t="shared" si="23"/>
        <v>1.2473485470000001</v>
      </c>
      <c r="AF67" s="61" t="str">
        <f t="shared" si="24"/>
        <v>O24</v>
      </c>
      <c r="AG67" s="44">
        <f t="shared" si="25"/>
        <v>0.28976182580821919</v>
      </c>
      <c r="AH67" s="44">
        <f t="shared" si="26"/>
        <v>0.24147298232876713</v>
      </c>
      <c r="AI67" s="44">
        <f t="shared" si="27"/>
        <v>0.24953680491095889</v>
      </c>
      <c r="AJ67" s="44">
        <f t="shared" si="28"/>
        <v>0.41243115520547946</v>
      </c>
      <c r="AK67" s="44">
        <f t="shared" si="29"/>
        <v>0.14272778347838899</v>
      </c>
      <c r="AL67" s="44">
        <f t="shared" si="30"/>
        <v>3.8391284954813358E-2</v>
      </c>
      <c r="AM67" s="44">
        <f t="shared" si="31"/>
        <v>0.33177193706467661</v>
      </c>
      <c r="AN67" s="44">
        <f t="shared" si="32"/>
        <v>0.31028570820895529</v>
      </c>
      <c r="AO67" s="44">
        <f t="shared" si="15"/>
        <v>0.28019545056048212</v>
      </c>
    </row>
    <row r="68" spans="1:41" ht="15.6" x14ac:dyDescent="0.25">
      <c r="A68" s="60"/>
      <c r="B68" s="62" t="s">
        <v>198</v>
      </c>
      <c r="C68" s="74">
        <v>1.7366514209999999</v>
      </c>
      <c r="D68" s="74">
        <v>1.227489829</v>
      </c>
      <c r="E68" s="74">
        <v>1.3251181839999999</v>
      </c>
      <c r="F68" s="74">
        <v>2.6668653490000001</v>
      </c>
      <c r="G68" s="74">
        <v>0.67733305690000001</v>
      </c>
      <c r="H68" s="74">
        <v>0.63973820209999999</v>
      </c>
      <c r="I68" s="74">
        <v>1.315485239</v>
      </c>
      <c r="J68" s="74">
        <v>1.1882084610000001</v>
      </c>
      <c r="K68" s="44">
        <f t="shared" si="12"/>
        <v>1.5826438259392632</v>
      </c>
      <c r="L68" s="58"/>
      <c r="N68">
        <v>0.95</v>
      </c>
      <c r="O68">
        <v>1</v>
      </c>
      <c r="P68">
        <v>0.95</v>
      </c>
      <c r="Q68">
        <v>1</v>
      </c>
      <c r="R68">
        <v>0.95</v>
      </c>
      <c r="S68">
        <v>0.95</v>
      </c>
      <c r="T68">
        <v>1</v>
      </c>
      <c r="U68">
        <v>1</v>
      </c>
      <c r="W68" s="44">
        <f t="shared" si="16"/>
        <v>1.6498188499499999</v>
      </c>
      <c r="X68" s="44">
        <f t="shared" si="17"/>
        <v>1.227489829</v>
      </c>
      <c r="Y68" s="44">
        <f t="shared" si="18"/>
        <v>1.2588622747999998</v>
      </c>
      <c r="Z68" s="44">
        <f t="shared" si="19"/>
        <v>2.6668653490000001</v>
      </c>
      <c r="AA68" s="44">
        <f t="shared" si="20"/>
        <v>0.643466404055</v>
      </c>
      <c r="AB68" s="44">
        <f t="shared" si="21"/>
        <v>0.607751291995</v>
      </c>
      <c r="AC68" s="44">
        <f t="shared" si="22"/>
        <v>1.315485239</v>
      </c>
      <c r="AD68" s="44">
        <f t="shared" si="23"/>
        <v>1.1882084610000001</v>
      </c>
      <c r="AF68" s="61" t="str">
        <f t="shared" si="24"/>
        <v>O25</v>
      </c>
      <c r="AG68" s="44">
        <f t="shared" si="25"/>
        <v>0.22600258218493149</v>
      </c>
      <c r="AH68" s="44">
        <f t="shared" si="26"/>
        <v>0.16814929164383563</v>
      </c>
      <c r="AI68" s="44">
        <f t="shared" si="27"/>
        <v>0.17244688695890409</v>
      </c>
      <c r="AJ68" s="44">
        <f t="shared" si="28"/>
        <v>0.36532402041095891</v>
      </c>
      <c r="AK68" s="44">
        <f t="shared" si="29"/>
        <v>0.12641776111100197</v>
      </c>
      <c r="AL68" s="44">
        <f t="shared" si="30"/>
        <v>0.11940103968467584</v>
      </c>
      <c r="AM68" s="44">
        <f t="shared" si="31"/>
        <v>0.32723513407960203</v>
      </c>
      <c r="AN68" s="44">
        <f t="shared" si="32"/>
        <v>0.29557424402985083</v>
      </c>
      <c r="AO68" s="44">
        <f t="shared" si="15"/>
        <v>0.24268622330651876</v>
      </c>
    </row>
    <row r="69" spans="1:41" ht="15.6" x14ac:dyDescent="0.25">
      <c r="A69" s="57"/>
      <c r="B69" s="62" t="s">
        <v>199</v>
      </c>
      <c r="C69" s="74">
        <v>2.1946227550000001</v>
      </c>
      <c r="D69" s="74">
        <v>1.443445206</v>
      </c>
      <c r="E69" s="74">
        <v>1.46809864</v>
      </c>
      <c r="F69" s="74">
        <v>2.8150873179999998</v>
      </c>
      <c r="G69" s="74">
        <v>0.66062182189999996</v>
      </c>
      <c r="H69" s="74">
        <v>0.77586996559999999</v>
      </c>
      <c r="I69" s="74">
        <v>1.5105245110000001</v>
      </c>
      <c r="J69" s="74">
        <v>1.4422034029999999</v>
      </c>
      <c r="K69" s="44">
        <f t="shared" si="12"/>
        <v>1.7480240542918677</v>
      </c>
      <c r="L69" s="44"/>
      <c r="N69">
        <v>0.95</v>
      </c>
      <c r="O69">
        <v>1</v>
      </c>
      <c r="P69">
        <v>0.95</v>
      </c>
      <c r="Q69">
        <v>1</v>
      </c>
      <c r="R69">
        <v>0.95</v>
      </c>
      <c r="S69">
        <v>0.95</v>
      </c>
      <c r="T69">
        <v>1</v>
      </c>
      <c r="U69">
        <v>1</v>
      </c>
      <c r="W69" s="44">
        <f t="shared" si="16"/>
        <v>2.0848916172499998</v>
      </c>
      <c r="X69" s="44">
        <f t="shared" si="17"/>
        <v>1.443445206</v>
      </c>
      <c r="Y69" s="44">
        <f t="shared" si="18"/>
        <v>1.3946937079999999</v>
      </c>
      <c r="Z69" s="44">
        <f t="shared" si="19"/>
        <v>2.8150873179999998</v>
      </c>
      <c r="AA69" s="44">
        <f t="shared" si="20"/>
        <v>0.62759073080499994</v>
      </c>
      <c r="AB69" s="44">
        <f t="shared" si="21"/>
        <v>0.73707646731999998</v>
      </c>
      <c r="AC69" s="44">
        <f t="shared" si="22"/>
        <v>1.5105245110000001</v>
      </c>
      <c r="AD69" s="44">
        <f t="shared" si="23"/>
        <v>1.4422034029999999</v>
      </c>
      <c r="AF69" s="61" t="str">
        <f t="shared" si="24"/>
        <v>O26</v>
      </c>
      <c r="AG69" s="44">
        <f t="shared" si="25"/>
        <v>0.28560159140410957</v>
      </c>
      <c r="AH69" s="44">
        <f t="shared" si="26"/>
        <v>0.19773222000000001</v>
      </c>
      <c r="AI69" s="44">
        <f t="shared" si="27"/>
        <v>0.19105393260273973</v>
      </c>
      <c r="AJ69" s="44">
        <f t="shared" si="28"/>
        <v>0.38562839972602736</v>
      </c>
      <c r="AK69" s="44">
        <f t="shared" si="29"/>
        <v>0.12329876833104125</v>
      </c>
      <c r="AL69" s="44">
        <f t="shared" si="30"/>
        <v>0.14480873621218074</v>
      </c>
      <c r="AM69" s="44">
        <f t="shared" si="31"/>
        <v>0.37575236592039807</v>
      </c>
      <c r="AN69" s="44">
        <f t="shared" si="32"/>
        <v>0.3587570654228856</v>
      </c>
      <c r="AO69" s="44">
        <f t="shared" si="15"/>
        <v>0.26910753005005911</v>
      </c>
    </row>
    <row r="70" spans="1:41" ht="15.6" x14ac:dyDescent="0.25">
      <c r="A70" s="60"/>
      <c r="B70" s="62" t="s">
        <v>200</v>
      </c>
      <c r="C70" s="74">
        <v>2.0228261949999999</v>
      </c>
      <c r="D70" s="74">
        <v>1.940946579</v>
      </c>
      <c r="E70" s="74">
        <v>2.1475455760000002</v>
      </c>
      <c r="F70" s="74">
        <v>2.171933889</v>
      </c>
      <c r="G70" s="74">
        <v>0.65474241970000002</v>
      </c>
      <c r="H70" s="74">
        <v>0.44086173179999999</v>
      </c>
      <c r="I70" s="74">
        <v>1.9135022159999999</v>
      </c>
      <c r="J70" s="74">
        <v>1.7223054170000001</v>
      </c>
      <c r="K70" s="44">
        <f t="shared" si="12"/>
        <v>1.7490992133813217</v>
      </c>
      <c r="L70" s="58"/>
      <c r="N70">
        <v>0.95</v>
      </c>
      <c r="O70">
        <v>1</v>
      </c>
      <c r="P70">
        <v>0.95</v>
      </c>
      <c r="Q70">
        <v>1</v>
      </c>
      <c r="R70">
        <v>0.95</v>
      </c>
      <c r="S70">
        <v>0.95</v>
      </c>
      <c r="T70">
        <v>1</v>
      </c>
      <c r="U70">
        <v>1</v>
      </c>
      <c r="W70" s="44">
        <f t="shared" si="16"/>
        <v>1.9216848852499999</v>
      </c>
      <c r="X70" s="44">
        <f t="shared" si="17"/>
        <v>1.940946579</v>
      </c>
      <c r="Y70" s="44">
        <f t="shared" si="18"/>
        <v>2.0401682972000001</v>
      </c>
      <c r="Z70" s="44">
        <f t="shared" si="19"/>
        <v>2.171933889</v>
      </c>
      <c r="AA70" s="44">
        <f t="shared" si="20"/>
        <v>0.62200529871499999</v>
      </c>
      <c r="AB70" s="44">
        <f t="shared" si="21"/>
        <v>0.41881864520999995</v>
      </c>
      <c r="AC70" s="44">
        <f t="shared" si="22"/>
        <v>1.9135022159999999</v>
      </c>
      <c r="AD70" s="44">
        <f t="shared" si="23"/>
        <v>1.7223054170000001</v>
      </c>
      <c r="AF70" s="61" t="str">
        <f t="shared" si="24"/>
        <v>O27</v>
      </c>
      <c r="AG70" s="44">
        <f t="shared" si="25"/>
        <v>0.2632445048287671</v>
      </c>
      <c r="AH70" s="44">
        <f t="shared" si="26"/>
        <v>0.26588309301369861</v>
      </c>
      <c r="AI70" s="44">
        <f t="shared" si="27"/>
        <v>0.27947510920547947</v>
      </c>
      <c r="AJ70" s="44">
        <f t="shared" si="28"/>
        <v>0.29752519027397262</v>
      </c>
      <c r="AK70" s="44">
        <f t="shared" si="29"/>
        <v>0.12220143393222004</v>
      </c>
      <c r="AL70" s="44">
        <f t="shared" si="30"/>
        <v>8.2282641495088404E-2</v>
      </c>
      <c r="AM70" s="44">
        <f t="shared" si="31"/>
        <v>0.47599557611940302</v>
      </c>
      <c r="AN70" s="44">
        <f t="shared" si="32"/>
        <v>0.42843418333333338</v>
      </c>
      <c r="AO70" s="44">
        <f t="shared" si="15"/>
        <v>0.27325208979135018</v>
      </c>
    </row>
    <row r="71" spans="1:41" ht="15.6" x14ac:dyDescent="0.25">
      <c r="A71" s="57"/>
      <c r="B71" s="62" t="s">
        <v>201</v>
      </c>
      <c r="C71" s="74">
        <v>0.6062399745</v>
      </c>
      <c r="D71" s="74">
        <v>0.3164028525</v>
      </c>
      <c r="E71" s="74">
        <v>0.13110649590000001</v>
      </c>
      <c r="F71" s="74">
        <v>1.031322122</v>
      </c>
      <c r="G71" s="74">
        <v>0.1221007556</v>
      </c>
      <c r="H71" s="74">
        <v>0.40310651060000002</v>
      </c>
      <c r="I71" s="74">
        <v>0.47444584969999998</v>
      </c>
      <c r="J71" s="74">
        <v>0.58743357659999995</v>
      </c>
      <c r="K71" s="44">
        <f t="shared" si="12"/>
        <v>0.52150151810000012</v>
      </c>
      <c r="L71" s="44"/>
      <c r="N71">
        <v>0.95</v>
      </c>
      <c r="O71">
        <v>1</v>
      </c>
      <c r="P71">
        <v>0.95</v>
      </c>
      <c r="Q71">
        <v>1</v>
      </c>
      <c r="R71">
        <v>0.95</v>
      </c>
      <c r="S71">
        <v>0.95</v>
      </c>
      <c r="T71">
        <v>1</v>
      </c>
      <c r="U71">
        <v>1</v>
      </c>
      <c r="W71" s="44">
        <f t="shared" si="16"/>
        <v>0.57592797577499999</v>
      </c>
      <c r="X71" s="44">
        <f t="shared" si="17"/>
        <v>0.3164028525</v>
      </c>
      <c r="Y71" s="44">
        <f t="shared" si="18"/>
        <v>0.124551171105</v>
      </c>
      <c r="Z71" s="44">
        <f t="shared" si="19"/>
        <v>1.031322122</v>
      </c>
      <c r="AA71" s="44">
        <f t="shared" si="20"/>
        <v>0.11599571782</v>
      </c>
      <c r="AB71" s="44">
        <f t="shared" si="21"/>
        <v>0.38295118506999998</v>
      </c>
      <c r="AC71" s="44">
        <f t="shared" si="22"/>
        <v>0.47444584969999998</v>
      </c>
      <c r="AD71" s="44">
        <f t="shared" si="23"/>
        <v>0.58743357659999995</v>
      </c>
      <c r="AF71" s="61" t="str">
        <f t="shared" si="24"/>
        <v>O28</v>
      </c>
      <c r="AG71" s="44">
        <f t="shared" si="25"/>
        <v>7.8894243256849322E-2</v>
      </c>
      <c r="AH71" s="44">
        <f t="shared" si="26"/>
        <v>4.3342856506849319E-2</v>
      </c>
      <c r="AI71" s="44">
        <f t="shared" si="27"/>
        <v>1.7061804260958904E-2</v>
      </c>
      <c r="AJ71" s="44">
        <f t="shared" si="28"/>
        <v>0.14127700301369864</v>
      </c>
      <c r="AK71" s="44">
        <f t="shared" si="29"/>
        <v>2.278894259724951E-2</v>
      </c>
      <c r="AL71" s="44">
        <f t="shared" si="30"/>
        <v>7.5235989208251475E-2</v>
      </c>
      <c r="AM71" s="44">
        <f t="shared" si="31"/>
        <v>0.11802135564676618</v>
      </c>
      <c r="AN71" s="44">
        <f t="shared" si="32"/>
        <v>0.14612775537313433</v>
      </c>
      <c r="AO71" s="44">
        <f t="shared" si="15"/>
        <v>8.2259880408197275E-2</v>
      </c>
    </row>
    <row r="72" spans="1:41" ht="15.6" x14ac:dyDescent="0.25">
      <c r="A72" s="60"/>
      <c r="B72" s="62" t="s">
        <v>202</v>
      </c>
      <c r="C72" s="74">
        <v>1.076354504</v>
      </c>
      <c r="D72" s="74">
        <v>0.61117464300000002</v>
      </c>
      <c r="E72" s="74">
        <v>0.3439607918</v>
      </c>
      <c r="F72" s="74">
        <v>1.41571939</v>
      </c>
      <c r="G72" s="74">
        <v>0.35413917900000003</v>
      </c>
      <c r="H72" s="74">
        <v>0.72323817010000002</v>
      </c>
      <c r="I72" s="74">
        <v>1.7817457910000001</v>
      </c>
      <c r="J72" s="74">
        <v>1.6668878789999999</v>
      </c>
      <c r="K72" s="44">
        <f t="shared" si="12"/>
        <v>0.97236844599911065</v>
      </c>
      <c r="L72" s="58"/>
      <c r="N72">
        <v>0.95</v>
      </c>
      <c r="O72">
        <v>1</v>
      </c>
      <c r="P72">
        <v>0.95</v>
      </c>
      <c r="Q72">
        <v>1</v>
      </c>
      <c r="R72">
        <v>0.95</v>
      </c>
      <c r="S72">
        <v>0.95</v>
      </c>
      <c r="T72">
        <v>1</v>
      </c>
      <c r="U72">
        <v>1</v>
      </c>
      <c r="W72" s="44">
        <f t="shared" si="16"/>
        <v>1.0225367787999999</v>
      </c>
      <c r="X72" s="44">
        <f t="shared" si="17"/>
        <v>0.61117464300000002</v>
      </c>
      <c r="Y72" s="44">
        <f t="shared" si="18"/>
        <v>0.32676275221000001</v>
      </c>
      <c r="Z72" s="44">
        <f t="shared" si="19"/>
        <v>1.41571939</v>
      </c>
      <c r="AA72" s="44">
        <f t="shared" si="20"/>
        <v>0.33643222005000001</v>
      </c>
      <c r="AB72" s="44">
        <f t="shared" si="21"/>
        <v>0.68707626159500002</v>
      </c>
      <c r="AC72" s="44">
        <f t="shared" si="22"/>
        <v>1.7817457910000001</v>
      </c>
      <c r="AD72" s="44">
        <f t="shared" si="23"/>
        <v>1.6668878789999999</v>
      </c>
      <c r="AF72" s="61" t="str">
        <f t="shared" si="24"/>
        <v>O29</v>
      </c>
      <c r="AG72" s="44">
        <f t="shared" si="25"/>
        <v>0.14007353134246575</v>
      </c>
      <c r="AH72" s="44">
        <f t="shared" si="26"/>
        <v>8.3722553835616442E-2</v>
      </c>
      <c r="AI72" s="44">
        <f t="shared" si="27"/>
        <v>4.4762020850684932E-2</v>
      </c>
      <c r="AJ72" s="44">
        <f t="shared" si="28"/>
        <v>0.19393416301369865</v>
      </c>
      <c r="AK72" s="44">
        <f t="shared" si="29"/>
        <v>6.6096703349705313E-2</v>
      </c>
      <c r="AL72" s="44">
        <f t="shared" si="30"/>
        <v>0.13498551308349707</v>
      </c>
      <c r="AM72" s="44">
        <f t="shared" si="31"/>
        <v>0.44322034601990057</v>
      </c>
      <c r="AN72" s="44">
        <f t="shared" si="32"/>
        <v>0.41464872611940301</v>
      </c>
      <c r="AO72" s="44">
        <f t="shared" si="15"/>
        <v>0.16676514823392197</v>
      </c>
    </row>
    <row r="73" spans="1:41" ht="15.6" x14ac:dyDescent="0.25">
      <c r="A73" s="57"/>
      <c r="B73" s="62" t="s">
        <v>203</v>
      </c>
      <c r="C73" s="74">
        <v>1.767892003</v>
      </c>
      <c r="D73" s="74">
        <v>1.0696917770000001</v>
      </c>
      <c r="E73" s="74">
        <v>0.41747859120000003</v>
      </c>
      <c r="F73" s="74">
        <v>1.1926460270000001</v>
      </c>
      <c r="G73" s="74">
        <v>0.2419956774</v>
      </c>
      <c r="H73" s="74">
        <v>0.74968194960000001</v>
      </c>
      <c r="I73" s="74">
        <v>1.4506196979999999</v>
      </c>
      <c r="J73" s="74">
        <v>0.98550283910000003</v>
      </c>
      <c r="K73" s="44">
        <f t="shared" ref="K73:K132" si="46">SUMPRODUCT(C73:J73,$C$7:$J$7)/$K$7</f>
        <v>0.92834574127204561</v>
      </c>
      <c r="L73" s="44"/>
      <c r="N73">
        <v>0.95</v>
      </c>
      <c r="O73">
        <v>1</v>
      </c>
      <c r="P73">
        <v>0.95</v>
      </c>
      <c r="Q73">
        <v>1</v>
      </c>
      <c r="R73">
        <v>0.95</v>
      </c>
      <c r="S73">
        <v>0.95</v>
      </c>
      <c r="T73">
        <v>1</v>
      </c>
      <c r="U73">
        <v>1</v>
      </c>
      <c r="W73" s="44">
        <f t="shared" si="16"/>
        <v>1.67949740285</v>
      </c>
      <c r="X73" s="44">
        <f t="shared" si="17"/>
        <v>1.0696917770000001</v>
      </c>
      <c r="Y73" s="44">
        <f t="shared" si="18"/>
        <v>0.39660466164000002</v>
      </c>
      <c r="Z73" s="44">
        <f t="shared" si="19"/>
        <v>1.1926460270000001</v>
      </c>
      <c r="AA73" s="44">
        <f t="shared" si="20"/>
        <v>0.22989589352999998</v>
      </c>
      <c r="AB73" s="44">
        <f t="shared" si="21"/>
        <v>0.71219785211999997</v>
      </c>
      <c r="AC73" s="44">
        <f t="shared" si="22"/>
        <v>1.4506196979999999</v>
      </c>
      <c r="AD73" s="44">
        <f t="shared" si="23"/>
        <v>0.98550283910000003</v>
      </c>
      <c r="AF73" s="61" t="str">
        <f t="shared" si="24"/>
        <v>O30</v>
      </c>
      <c r="AG73" s="44">
        <f>W73/W$8</f>
        <v>0.23006813737671233</v>
      </c>
      <c r="AH73" s="44">
        <f t="shared" si="26"/>
        <v>0.1465331201369863</v>
      </c>
      <c r="AI73" s="44">
        <f t="shared" si="27"/>
        <v>5.4329405704109594E-2</v>
      </c>
      <c r="AJ73" s="44">
        <f t="shared" si="28"/>
        <v>0.1633761680821918</v>
      </c>
      <c r="AK73" s="44">
        <f t="shared" si="29"/>
        <v>4.5166187333988209E-2</v>
      </c>
      <c r="AL73" s="44">
        <f t="shared" si="30"/>
        <v>0.13992099255795679</v>
      </c>
      <c r="AM73" s="44">
        <f t="shared" si="31"/>
        <v>0.3608506711442786</v>
      </c>
      <c r="AN73" s="44">
        <f t="shared" si="32"/>
        <v>0.2451499599751244</v>
      </c>
      <c r="AO73" s="44">
        <f t="shared" ref="AO73:AO107" si="47">SUMPRODUCT(AG73:AN73,$C$7:$J$7)/$K$7</f>
        <v>0.1509558790045501</v>
      </c>
    </row>
    <row r="74" spans="1:41" ht="15.6" x14ac:dyDescent="0.25">
      <c r="A74" s="60"/>
      <c r="B74" s="62" t="s">
        <v>204</v>
      </c>
      <c r="C74" s="74">
        <v>1.9326612949999999</v>
      </c>
      <c r="D74" s="74">
        <v>1.370830059</v>
      </c>
      <c r="E74" s="74">
        <v>0.93527245520000002</v>
      </c>
      <c r="F74" s="74">
        <v>0.3835392594</v>
      </c>
      <c r="G74" s="74">
        <v>0.24640974400000001</v>
      </c>
      <c r="H74" s="74">
        <v>0.27982613439999998</v>
      </c>
      <c r="I74" s="74">
        <v>1.595594883</v>
      </c>
      <c r="J74" s="74">
        <v>1.5484813449999999</v>
      </c>
      <c r="K74" s="44">
        <f t="shared" si="46"/>
        <v>0.85359523428233819</v>
      </c>
      <c r="L74" s="58"/>
      <c r="N74">
        <v>0.95</v>
      </c>
      <c r="O74">
        <v>1</v>
      </c>
      <c r="P74">
        <v>0.95</v>
      </c>
      <c r="Q74">
        <v>1</v>
      </c>
      <c r="R74">
        <v>0.95</v>
      </c>
      <c r="S74">
        <v>0.95</v>
      </c>
      <c r="T74">
        <v>1</v>
      </c>
      <c r="U74">
        <v>1</v>
      </c>
      <c r="W74" s="44">
        <f t="shared" ref="W74:W107" si="48">C74*N74</f>
        <v>1.8360282302499999</v>
      </c>
      <c r="X74" s="44">
        <f t="shared" ref="X74:X107" si="49">D74*O74</f>
        <v>1.370830059</v>
      </c>
      <c r="Y74" s="44">
        <f t="shared" ref="Y74:Y107" si="50">E74*P74</f>
        <v>0.88850883244000001</v>
      </c>
      <c r="Z74" s="44">
        <f t="shared" ref="Z74:Z107" si="51">F74*Q74</f>
        <v>0.3835392594</v>
      </c>
      <c r="AA74" s="44">
        <f t="shared" ref="AA74:AA107" si="52">G74*R74</f>
        <v>0.23408925680000001</v>
      </c>
      <c r="AB74" s="44">
        <f t="shared" ref="AB74:AB107" si="53">H74*S74</f>
        <v>0.26583482768</v>
      </c>
      <c r="AC74" s="44">
        <f t="shared" ref="AC74:AC107" si="54">I74*T74</f>
        <v>1.595594883</v>
      </c>
      <c r="AD74" s="44">
        <f t="shared" ref="AD74:AD107" si="55">J74*U74</f>
        <v>1.5484813449999999</v>
      </c>
      <c r="AF74" s="61" t="str">
        <f t="shared" ref="AF74:AF107" si="56">B74</f>
        <v>O31</v>
      </c>
      <c r="AG74" s="44">
        <f t="shared" ref="AG74:AG107" si="57">W74/W$8</f>
        <v>0.25151071647260276</v>
      </c>
      <c r="AH74" s="44">
        <f t="shared" ref="AH74:AH107" si="58">X74/X$8</f>
        <v>0.18778493958904111</v>
      </c>
      <c r="AI74" s="44">
        <f t="shared" ref="AI74:AI107" si="59">Y74/Y$8</f>
        <v>0.12171353869041096</v>
      </c>
      <c r="AJ74" s="44">
        <f t="shared" ref="AJ74:AJ107" si="60">Z74/Z$8</f>
        <v>5.2539624575342468E-2</v>
      </c>
      <c r="AK74" s="44">
        <f t="shared" ref="AK74:AK107" si="61">AA74/AA$8</f>
        <v>4.5990030805500987E-2</v>
      </c>
      <c r="AL74" s="44">
        <f t="shared" ref="AL74:AL107" si="62">AB74/AB$8</f>
        <v>5.222688166601179E-2</v>
      </c>
      <c r="AM74" s="44">
        <f t="shared" ref="AM74:AM107" si="63">AC74/AC$8</f>
        <v>0.39691415000000002</v>
      </c>
      <c r="AN74" s="44">
        <f t="shared" ref="AN74:AN107" si="64">AD74/AD$8</f>
        <v>0.3851943644278607</v>
      </c>
      <c r="AO74" s="44">
        <f t="shared" si="47"/>
        <v>0.14445131259041741</v>
      </c>
    </row>
    <row r="75" spans="1:41" ht="15.6" x14ac:dyDescent="0.25">
      <c r="A75" s="57"/>
      <c r="B75" s="62" t="s">
        <v>205</v>
      </c>
      <c r="C75" s="74">
        <v>2.3974809650000002</v>
      </c>
      <c r="D75" s="74">
        <v>3.0268213749999999</v>
      </c>
      <c r="E75" s="74">
        <v>3.0899791720000001</v>
      </c>
      <c r="F75" s="74">
        <v>1.82878685</v>
      </c>
      <c r="G75" s="74">
        <v>0.78965693709999996</v>
      </c>
      <c r="H75" s="74">
        <v>0.46322882180000002</v>
      </c>
      <c r="I75" s="74">
        <v>1.66322875</v>
      </c>
      <c r="J75" s="74">
        <v>1.5285326239999999</v>
      </c>
      <c r="K75" s="44">
        <f t="shared" si="46"/>
        <v>1.9388380477566716</v>
      </c>
      <c r="L75" s="44"/>
      <c r="N75">
        <v>0.95</v>
      </c>
      <c r="O75">
        <v>1</v>
      </c>
      <c r="P75">
        <v>0.95</v>
      </c>
      <c r="Q75">
        <v>1</v>
      </c>
      <c r="R75">
        <v>0.95</v>
      </c>
      <c r="S75">
        <v>0.95</v>
      </c>
      <c r="T75">
        <v>1</v>
      </c>
      <c r="U75">
        <v>1</v>
      </c>
      <c r="W75" s="44">
        <f t="shared" si="48"/>
        <v>2.2776069167499999</v>
      </c>
      <c r="X75" s="44">
        <f t="shared" si="49"/>
        <v>3.0268213749999999</v>
      </c>
      <c r="Y75" s="44">
        <f t="shared" si="50"/>
        <v>2.9354802134</v>
      </c>
      <c r="Z75" s="44">
        <f t="shared" si="51"/>
        <v>1.82878685</v>
      </c>
      <c r="AA75" s="44">
        <f t="shared" si="52"/>
        <v>0.75017409024499992</v>
      </c>
      <c r="AB75" s="44">
        <f t="shared" si="53"/>
        <v>0.44006738071000001</v>
      </c>
      <c r="AC75" s="44">
        <f t="shared" si="54"/>
        <v>1.66322875</v>
      </c>
      <c r="AD75" s="44">
        <f t="shared" si="55"/>
        <v>1.5285326239999999</v>
      </c>
      <c r="AF75" s="61" t="str">
        <f t="shared" si="56"/>
        <v>O32</v>
      </c>
      <c r="AG75" s="44">
        <f t="shared" si="57"/>
        <v>0.31200094750000001</v>
      </c>
      <c r="AH75" s="44">
        <f t="shared" si="58"/>
        <v>0.41463306506849312</v>
      </c>
      <c r="AI75" s="44">
        <f t="shared" si="59"/>
        <v>0.40212057717808219</v>
      </c>
      <c r="AJ75" s="44">
        <f t="shared" si="60"/>
        <v>0.25051874657534245</v>
      </c>
      <c r="AK75" s="44">
        <f t="shared" si="61"/>
        <v>0.14738194307367386</v>
      </c>
      <c r="AL75" s="44">
        <f t="shared" si="62"/>
        <v>8.6457245719056983E-2</v>
      </c>
      <c r="AM75" s="44">
        <f t="shared" si="63"/>
        <v>0.4137384950248757</v>
      </c>
      <c r="AN75" s="44">
        <f t="shared" si="64"/>
        <v>0.38023199601990049</v>
      </c>
      <c r="AO75" s="44">
        <f t="shared" si="47"/>
        <v>0.29508878486415924</v>
      </c>
    </row>
    <row r="76" spans="1:41" ht="15.6" x14ac:dyDescent="0.25">
      <c r="A76" s="60"/>
      <c r="B76" s="62" t="s">
        <v>206</v>
      </c>
      <c r="C76" s="74">
        <v>2.150821686</v>
      </c>
      <c r="D76" s="74">
        <v>2.5682470799999999</v>
      </c>
      <c r="E76" s="74">
        <v>2.5807995799999999</v>
      </c>
      <c r="F76" s="74">
        <v>2.954300404</v>
      </c>
      <c r="G76" s="74">
        <v>0.46306547520000002</v>
      </c>
      <c r="H76" s="74">
        <v>0.63097262379999997</v>
      </c>
      <c r="I76" s="74">
        <v>1.7738462690000001</v>
      </c>
      <c r="J76" s="74">
        <v>1.608419061</v>
      </c>
      <c r="K76" s="44">
        <f t="shared" si="46"/>
        <v>2.0865736253006357</v>
      </c>
      <c r="L76" s="58"/>
      <c r="N76">
        <v>0.95</v>
      </c>
      <c r="O76">
        <v>1</v>
      </c>
      <c r="P76">
        <v>0.95</v>
      </c>
      <c r="Q76">
        <v>1</v>
      </c>
      <c r="R76">
        <v>0.95</v>
      </c>
      <c r="S76">
        <v>0.95</v>
      </c>
      <c r="T76">
        <v>1</v>
      </c>
      <c r="U76">
        <v>1</v>
      </c>
      <c r="W76" s="44">
        <f t="shared" si="48"/>
        <v>2.0432806016999998</v>
      </c>
      <c r="X76" s="44">
        <f t="shared" si="49"/>
        <v>2.5682470799999999</v>
      </c>
      <c r="Y76" s="44">
        <f t="shared" si="50"/>
        <v>2.4517596009999996</v>
      </c>
      <c r="Z76" s="44">
        <f t="shared" si="51"/>
        <v>2.954300404</v>
      </c>
      <c r="AA76" s="44">
        <f t="shared" si="52"/>
        <v>0.43991220143999998</v>
      </c>
      <c r="AB76" s="44">
        <f t="shared" si="53"/>
        <v>0.5994239926099999</v>
      </c>
      <c r="AC76" s="44">
        <f t="shared" si="54"/>
        <v>1.7738462690000001</v>
      </c>
      <c r="AD76" s="44">
        <f t="shared" si="55"/>
        <v>1.608419061</v>
      </c>
      <c r="AF76" s="61" t="str">
        <f t="shared" si="56"/>
        <v>O33</v>
      </c>
      <c r="AG76" s="44">
        <f t="shared" si="57"/>
        <v>0.27990145228767122</v>
      </c>
      <c r="AH76" s="44">
        <f t="shared" si="58"/>
        <v>0.35181466849315068</v>
      </c>
      <c r="AI76" s="44">
        <f t="shared" si="59"/>
        <v>0.33585747958904105</v>
      </c>
      <c r="AJ76" s="44">
        <f t="shared" si="60"/>
        <v>0.40469868547945209</v>
      </c>
      <c r="AK76" s="44">
        <f t="shared" si="61"/>
        <v>8.6426758632612968E-2</v>
      </c>
      <c r="AL76" s="44">
        <f t="shared" si="62"/>
        <v>0.11776502801768171</v>
      </c>
      <c r="AM76" s="44">
        <f t="shared" si="63"/>
        <v>0.44125529079601999</v>
      </c>
      <c r="AN76" s="44">
        <f t="shared" si="64"/>
        <v>0.40010424402985079</v>
      </c>
      <c r="AO76" s="44">
        <f t="shared" si="47"/>
        <v>0.31599498080132343</v>
      </c>
    </row>
    <row r="77" spans="1:41" ht="15.6" x14ac:dyDescent="0.25">
      <c r="A77" s="57"/>
      <c r="B77" s="62" t="s">
        <v>207</v>
      </c>
      <c r="C77" s="74">
        <v>1.7574311490000001</v>
      </c>
      <c r="D77" s="74">
        <v>1.7762123350000001</v>
      </c>
      <c r="E77" s="74">
        <v>1.599396467</v>
      </c>
      <c r="F77" s="74">
        <v>1.7824162240000001</v>
      </c>
      <c r="G77" s="74">
        <v>0.50873678919999998</v>
      </c>
      <c r="H77" s="74">
        <v>0.3402467072</v>
      </c>
      <c r="I77" s="74">
        <v>1.674742937</v>
      </c>
      <c r="J77" s="74">
        <v>1.6005376579999999</v>
      </c>
      <c r="K77" s="44">
        <f t="shared" si="46"/>
        <v>1.4484412151560357</v>
      </c>
      <c r="L77" s="44"/>
      <c r="N77">
        <v>0.95</v>
      </c>
      <c r="O77">
        <v>1</v>
      </c>
      <c r="P77">
        <v>0.95</v>
      </c>
      <c r="Q77">
        <v>1</v>
      </c>
      <c r="R77">
        <v>0.95</v>
      </c>
      <c r="S77">
        <v>0.95</v>
      </c>
      <c r="T77">
        <v>1</v>
      </c>
      <c r="U77">
        <v>1</v>
      </c>
      <c r="W77" s="44">
        <f t="shared" si="48"/>
        <v>1.6695595915499999</v>
      </c>
      <c r="X77" s="44">
        <f t="shared" si="49"/>
        <v>1.7762123350000001</v>
      </c>
      <c r="Y77" s="44">
        <f t="shared" si="50"/>
        <v>1.5194266436499999</v>
      </c>
      <c r="Z77" s="44">
        <f t="shared" si="51"/>
        <v>1.7824162240000001</v>
      </c>
      <c r="AA77" s="44">
        <f t="shared" si="52"/>
        <v>0.48329994973999996</v>
      </c>
      <c r="AB77" s="44">
        <f t="shared" si="53"/>
        <v>0.32323437183999998</v>
      </c>
      <c r="AC77" s="44">
        <f t="shared" si="54"/>
        <v>1.674742937</v>
      </c>
      <c r="AD77" s="44">
        <f t="shared" si="55"/>
        <v>1.6005376579999999</v>
      </c>
      <c r="AF77" s="61" t="str">
        <f t="shared" si="56"/>
        <v>O34</v>
      </c>
      <c r="AG77" s="44">
        <f t="shared" si="57"/>
        <v>0.22870679336301369</v>
      </c>
      <c r="AH77" s="44">
        <f t="shared" si="58"/>
        <v>0.24331675821917809</v>
      </c>
      <c r="AI77" s="44">
        <f t="shared" si="59"/>
        <v>0.20814063611643835</v>
      </c>
      <c r="AJ77" s="44">
        <f t="shared" si="60"/>
        <v>0.24416660602739729</v>
      </c>
      <c r="AK77" s="44">
        <f t="shared" si="61"/>
        <v>9.4950874212180736E-2</v>
      </c>
      <c r="AL77" s="44">
        <f t="shared" si="62"/>
        <v>6.3503805862475435E-2</v>
      </c>
      <c r="AM77" s="44">
        <f t="shared" si="63"/>
        <v>0.41660272064676623</v>
      </c>
      <c r="AN77" s="44">
        <f t="shared" si="64"/>
        <v>0.39814369601990052</v>
      </c>
      <c r="AO77" s="44">
        <f t="shared" si="47"/>
        <v>0.22839321337459217</v>
      </c>
    </row>
    <row r="78" spans="1:41" ht="15.6" x14ac:dyDescent="0.25">
      <c r="A78" s="60"/>
      <c r="B78" s="62" t="s">
        <v>208</v>
      </c>
      <c r="C78" s="74">
        <v>2.4287838939999999</v>
      </c>
      <c r="D78" s="74">
        <v>3.3809461590000001</v>
      </c>
      <c r="E78" s="74">
        <v>3.6108405590000001</v>
      </c>
      <c r="F78" s="74">
        <v>3.064665556</v>
      </c>
      <c r="G78" s="74">
        <v>0.49948766830000002</v>
      </c>
      <c r="H78" s="74">
        <v>0.58087688680000005</v>
      </c>
      <c r="I78" s="74">
        <v>1.7817463870000001</v>
      </c>
      <c r="J78" s="74">
        <v>1.640228987</v>
      </c>
      <c r="K78" s="44">
        <f t="shared" si="46"/>
        <v>2.4061582546209661</v>
      </c>
      <c r="L78" s="58"/>
      <c r="N78">
        <v>0.95</v>
      </c>
      <c r="O78">
        <v>1</v>
      </c>
      <c r="P78">
        <v>0.95</v>
      </c>
      <c r="Q78">
        <v>1</v>
      </c>
      <c r="R78">
        <v>0.95</v>
      </c>
      <c r="S78">
        <v>0.95</v>
      </c>
      <c r="T78">
        <v>1</v>
      </c>
      <c r="U78">
        <v>1</v>
      </c>
      <c r="W78" s="44">
        <f t="shared" si="48"/>
        <v>2.3073446992999997</v>
      </c>
      <c r="X78" s="44">
        <f t="shared" si="49"/>
        <v>3.3809461590000001</v>
      </c>
      <c r="Y78" s="44">
        <f t="shared" si="50"/>
        <v>3.43029853105</v>
      </c>
      <c r="Z78" s="44">
        <f t="shared" si="51"/>
        <v>3.064665556</v>
      </c>
      <c r="AA78" s="44">
        <f t="shared" si="52"/>
        <v>0.474513284885</v>
      </c>
      <c r="AB78" s="44">
        <f t="shared" si="53"/>
        <v>0.55183304245999998</v>
      </c>
      <c r="AC78" s="44">
        <f t="shared" si="54"/>
        <v>1.7817463870000001</v>
      </c>
      <c r="AD78" s="44">
        <f t="shared" si="55"/>
        <v>1.640228987</v>
      </c>
      <c r="AF78" s="61" t="str">
        <f t="shared" si="56"/>
        <v>O35</v>
      </c>
      <c r="AG78" s="44">
        <f t="shared" si="57"/>
        <v>0.31607461634246575</v>
      </c>
      <c r="AH78" s="44">
        <f t="shared" si="58"/>
        <v>0.46314330945205484</v>
      </c>
      <c r="AI78" s="44">
        <f t="shared" si="59"/>
        <v>0.46990390836301371</v>
      </c>
      <c r="AJ78" s="44">
        <f t="shared" si="60"/>
        <v>0.41981719945205481</v>
      </c>
      <c r="AK78" s="44">
        <f t="shared" si="61"/>
        <v>9.3224613926326139E-2</v>
      </c>
      <c r="AL78" s="44">
        <f t="shared" si="62"/>
        <v>0.108415136043222</v>
      </c>
      <c r="AM78" s="44">
        <f t="shared" si="63"/>
        <v>0.44322049427860705</v>
      </c>
      <c r="AN78" s="44">
        <f t="shared" si="64"/>
        <v>0.40801716094527368</v>
      </c>
      <c r="AO78" s="44">
        <f t="shared" si="47"/>
        <v>0.35879476195671994</v>
      </c>
    </row>
    <row r="79" spans="1:41" ht="15.6" x14ac:dyDescent="0.25">
      <c r="A79" s="57"/>
      <c r="B79" s="62" t="s">
        <v>209</v>
      </c>
      <c r="C79" s="74">
        <v>0.3843967915</v>
      </c>
      <c r="D79" s="74">
        <v>0.46658450369999999</v>
      </c>
      <c r="E79" s="74">
        <v>1.621373773</v>
      </c>
      <c r="F79" s="74">
        <v>2.6311366559999998</v>
      </c>
      <c r="G79" s="74">
        <v>0.73227030039999996</v>
      </c>
      <c r="H79" s="74">
        <v>0.69994801279999996</v>
      </c>
      <c r="I79" s="74">
        <v>1.198354125</v>
      </c>
      <c r="J79" s="74">
        <v>1.1974093910000001</v>
      </c>
      <c r="K79" s="44">
        <f t="shared" si="46"/>
        <v>1.4501029990146126</v>
      </c>
      <c r="L79" s="44"/>
      <c r="N79">
        <v>0.95</v>
      </c>
      <c r="O79">
        <v>1</v>
      </c>
      <c r="P79">
        <v>0.95</v>
      </c>
      <c r="Q79">
        <v>1</v>
      </c>
      <c r="R79">
        <v>0.95</v>
      </c>
      <c r="S79">
        <v>0.95</v>
      </c>
      <c r="T79">
        <v>1</v>
      </c>
      <c r="U79">
        <v>1</v>
      </c>
      <c r="W79" s="44">
        <f t="shared" si="48"/>
        <v>0.36517695192499999</v>
      </c>
      <c r="X79" s="44">
        <f t="shared" si="49"/>
        <v>0.46658450369999999</v>
      </c>
      <c r="Y79" s="44">
        <f t="shared" si="50"/>
        <v>1.5403050843499999</v>
      </c>
      <c r="Z79" s="44">
        <f t="shared" si="51"/>
        <v>2.6311366559999998</v>
      </c>
      <c r="AA79" s="44">
        <f t="shared" si="52"/>
        <v>0.69565678537999998</v>
      </c>
      <c r="AB79" s="44">
        <f t="shared" si="53"/>
        <v>0.66495061215999995</v>
      </c>
      <c r="AC79" s="44">
        <f t="shared" si="54"/>
        <v>1.198354125</v>
      </c>
      <c r="AD79" s="44">
        <f t="shared" si="55"/>
        <v>1.1974093910000001</v>
      </c>
      <c r="AF79" s="61" t="str">
        <f t="shared" si="56"/>
        <v>O36</v>
      </c>
      <c r="AG79" s="44">
        <f t="shared" si="57"/>
        <v>5.0024239989726028E-2</v>
      </c>
      <c r="AH79" s="44">
        <f t="shared" si="58"/>
        <v>6.3915685438356171E-2</v>
      </c>
      <c r="AI79" s="44">
        <f t="shared" si="59"/>
        <v>0.21100069648630138</v>
      </c>
      <c r="AJ79" s="44">
        <f t="shared" si="60"/>
        <v>0.3604296789041096</v>
      </c>
      <c r="AK79" s="44">
        <f t="shared" si="61"/>
        <v>0.13667127414145383</v>
      </c>
      <c r="AL79" s="44">
        <f t="shared" si="62"/>
        <v>0.13063862714341845</v>
      </c>
      <c r="AM79" s="44">
        <f t="shared" si="63"/>
        <v>0.29809804104477616</v>
      </c>
      <c r="AN79" s="44">
        <f t="shared" si="64"/>
        <v>0.29786303258706476</v>
      </c>
      <c r="AO79" s="44">
        <f t="shared" si="47"/>
        <v>0.22451868123241517</v>
      </c>
    </row>
    <row r="80" spans="1:41" ht="15.6" x14ac:dyDescent="0.25">
      <c r="A80" s="60"/>
      <c r="B80" s="62" t="s">
        <v>210</v>
      </c>
      <c r="C80" s="74">
        <v>1.5220620629999999</v>
      </c>
      <c r="D80" s="74">
        <v>2.9562520980000002</v>
      </c>
      <c r="E80" s="74">
        <v>3.1963589190000001</v>
      </c>
      <c r="F80" s="74">
        <v>1.61092484</v>
      </c>
      <c r="G80" s="74">
        <v>0.91716086860000001</v>
      </c>
      <c r="H80" s="74">
        <v>0.72268724439999998</v>
      </c>
      <c r="I80" s="74">
        <v>1.2536203859999999</v>
      </c>
      <c r="J80" s="74">
        <v>1.2789021730000001</v>
      </c>
      <c r="K80" s="44">
        <f t="shared" si="46"/>
        <v>1.80528113781169</v>
      </c>
      <c r="L80" s="58"/>
      <c r="N80">
        <v>0.95</v>
      </c>
      <c r="O80">
        <v>1</v>
      </c>
      <c r="P80">
        <v>0.95</v>
      </c>
      <c r="Q80">
        <v>1</v>
      </c>
      <c r="R80">
        <v>0.95</v>
      </c>
      <c r="S80">
        <v>0.95</v>
      </c>
      <c r="T80">
        <v>1</v>
      </c>
      <c r="U80">
        <v>1</v>
      </c>
      <c r="W80" s="44">
        <f t="shared" si="48"/>
        <v>1.4459589598499998</v>
      </c>
      <c r="X80" s="44">
        <f t="shared" si="49"/>
        <v>2.9562520980000002</v>
      </c>
      <c r="Y80" s="44">
        <f t="shared" si="50"/>
        <v>3.0365409730500001</v>
      </c>
      <c r="Z80" s="44">
        <f t="shared" si="51"/>
        <v>1.61092484</v>
      </c>
      <c r="AA80" s="44">
        <f t="shared" si="52"/>
        <v>0.87130282517000002</v>
      </c>
      <c r="AB80" s="44">
        <f t="shared" si="53"/>
        <v>0.68655288217999999</v>
      </c>
      <c r="AC80" s="44">
        <f t="shared" si="54"/>
        <v>1.2536203859999999</v>
      </c>
      <c r="AD80" s="44">
        <f t="shared" si="55"/>
        <v>1.2789021730000001</v>
      </c>
      <c r="AF80" s="61" t="str">
        <f t="shared" si="56"/>
        <v>O37</v>
      </c>
      <c r="AG80" s="44">
        <f t="shared" si="57"/>
        <v>0.19807656984246572</v>
      </c>
      <c r="AH80" s="44">
        <f t="shared" si="58"/>
        <v>0.40496604082191784</v>
      </c>
      <c r="AI80" s="44">
        <f t="shared" si="59"/>
        <v>0.41596451685616442</v>
      </c>
      <c r="AJ80" s="44">
        <f t="shared" si="60"/>
        <v>0.22067463561643835</v>
      </c>
      <c r="AK80" s="44">
        <f t="shared" si="61"/>
        <v>0.17117933696856583</v>
      </c>
      <c r="AL80" s="44">
        <f t="shared" si="62"/>
        <v>0.13488268805108056</v>
      </c>
      <c r="AM80" s="44">
        <f t="shared" si="63"/>
        <v>0.31184586716417911</v>
      </c>
      <c r="AN80" s="44">
        <f t="shared" si="64"/>
        <v>0.31813486890547271</v>
      </c>
      <c r="AO80" s="44">
        <f t="shared" si="47"/>
        <v>0.27319060373092496</v>
      </c>
    </row>
    <row r="81" spans="1:41" ht="15.6" x14ac:dyDescent="0.25">
      <c r="A81" s="57"/>
      <c r="B81" s="62" t="s">
        <v>211</v>
      </c>
      <c r="C81" s="74">
        <v>0.75527453420000001</v>
      </c>
      <c r="D81" s="74">
        <v>0.26691514249999998</v>
      </c>
      <c r="E81" s="74">
        <v>0.18734385070000001</v>
      </c>
      <c r="F81" s="74">
        <v>1.061765552</v>
      </c>
      <c r="G81" s="74">
        <v>0.21830274159999999</v>
      </c>
      <c r="H81" s="74">
        <v>0.1589313745</v>
      </c>
      <c r="I81" s="74">
        <v>1.243784666</v>
      </c>
      <c r="J81" s="74">
        <v>0.92301774020000005</v>
      </c>
      <c r="K81" s="44">
        <f t="shared" si="46"/>
        <v>0.62987337845501912</v>
      </c>
      <c r="L81" s="44"/>
      <c r="N81">
        <v>0.95</v>
      </c>
      <c r="O81">
        <v>1</v>
      </c>
      <c r="P81">
        <v>0.95</v>
      </c>
      <c r="Q81">
        <v>1</v>
      </c>
      <c r="R81">
        <v>0.95</v>
      </c>
      <c r="S81">
        <v>0.95</v>
      </c>
      <c r="T81">
        <v>1</v>
      </c>
      <c r="U81">
        <v>1</v>
      </c>
      <c r="W81" s="44">
        <f t="shared" si="48"/>
        <v>0.71751080748999996</v>
      </c>
      <c r="X81" s="44">
        <f t="shared" si="49"/>
        <v>0.26691514249999998</v>
      </c>
      <c r="Y81" s="44">
        <f t="shared" si="50"/>
        <v>0.177976658165</v>
      </c>
      <c r="Z81" s="44">
        <f t="shared" si="51"/>
        <v>1.061765552</v>
      </c>
      <c r="AA81" s="44">
        <f t="shared" si="52"/>
        <v>0.20738760451999999</v>
      </c>
      <c r="AB81" s="44">
        <f t="shared" si="53"/>
        <v>0.15098480577499998</v>
      </c>
      <c r="AC81" s="44">
        <f t="shared" si="54"/>
        <v>1.243784666</v>
      </c>
      <c r="AD81" s="44">
        <f t="shared" si="55"/>
        <v>0.92301774020000005</v>
      </c>
      <c r="AF81" s="61" t="str">
        <f t="shared" si="56"/>
        <v>O38</v>
      </c>
      <c r="AG81" s="44">
        <f t="shared" si="57"/>
        <v>9.8289151710958894E-2</v>
      </c>
      <c r="AH81" s="44">
        <f t="shared" si="58"/>
        <v>3.6563718150684932E-2</v>
      </c>
      <c r="AI81" s="44">
        <f t="shared" si="59"/>
        <v>2.438036413219178E-2</v>
      </c>
      <c r="AJ81" s="44">
        <f t="shared" si="60"/>
        <v>0.14544733589041095</v>
      </c>
      <c r="AK81" s="44">
        <f t="shared" si="61"/>
        <v>4.074412662475442E-2</v>
      </c>
      <c r="AL81" s="44">
        <f t="shared" si="62"/>
        <v>2.9663026674852648E-2</v>
      </c>
      <c r="AM81" s="44">
        <f t="shared" si="63"/>
        <v>0.3093991706467662</v>
      </c>
      <c r="AN81" s="44">
        <f t="shared" si="64"/>
        <v>0.22960640303482591</v>
      </c>
      <c r="AO81" s="44">
        <f t="shared" si="47"/>
        <v>0.10640107651326434</v>
      </c>
    </row>
    <row r="82" spans="1:41" ht="15.6" x14ac:dyDescent="0.25">
      <c r="A82" s="60"/>
      <c r="B82" s="62" t="s">
        <v>212</v>
      </c>
      <c r="C82" s="74">
        <v>0.22425550220000001</v>
      </c>
      <c r="D82" s="74">
        <v>0.54550391440000001</v>
      </c>
      <c r="E82" s="74">
        <v>0.73389917609999999</v>
      </c>
      <c r="F82" s="74">
        <v>0.66517889500000005</v>
      </c>
      <c r="G82" s="74">
        <v>0.29204893110000002</v>
      </c>
      <c r="H82" s="74">
        <v>0.1239910945</v>
      </c>
      <c r="I82" s="74">
        <v>1.0800575020000001</v>
      </c>
      <c r="J82" s="74">
        <v>0.62428075080000001</v>
      </c>
      <c r="K82" s="44">
        <f t="shared" si="46"/>
        <v>0.57221614731817039</v>
      </c>
      <c r="L82" s="58"/>
      <c r="N82">
        <v>0.95</v>
      </c>
      <c r="O82">
        <v>1</v>
      </c>
      <c r="P82">
        <v>0.95</v>
      </c>
      <c r="Q82">
        <v>1</v>
      </c>
      <c r="R82">
        <v>0.95</v>
      </c>
      <c r="S82">
        <v>0.95</v>
      </c>
      <c r="T82">
        <v>1</v>
      </c>
      <c r="U82">
        <v>1</v>
      </c>
      <c r="W82" s="44">
        <f t="shared" si="48"/>
        <v>0.21304272708999999</v>
      </c>
      <c r="X82" s="44">
        <f t="shared" si="49"/>
        <v>0.54550391440000001</v>
      </c>
      <c r="Y82" s="44">
        <f t="shared" si="50"/>
        <v>0.69720421729499993</v>
      </c>
      <c r="Z82" s="44">
        <f t="shared" si="51"/>
        <v>0.66517889500000005</v>
      </c>
      <c r="AA82" s="44">
        <f t="shared" si="52"/>
        <v>0.27744648454499998</v>
      </c>
      <c r="AB82" s="44">
        <f t="shared" si="53"/>
        <v>0.117791539775</v>
      </c>
      <c r="AC82" s="44">
        <f t="shared" si="54"/>
        <v>1.0800575020000001</v>
      </c>
      <c r="AD82" s="44">
        <f t="shared" si="55"/>
        <v>0.62428075080000001</v>
      </c>
      <c r="AF82" s="61" t="str">
        <f t="shared" si="56"/>
        <v>O39</v>
      </c>
      <c r="AG82" s="44">
        <f t="shared" si="57"/>
        <v>2.9183935217808221E-2</v>
      </c>
      <c r="AH82" s="44">
        <f t="shared" si="58"/>
        <v>7.4726563616438355E-2</v>
      </c>
      <c r="AI82" s="44">
        <f t="shared" si="59"/>
        <v>9.5507427026712319E-2</v>
      </c>
      <c r="AJ82" s="44">
        <f t="shared" si="60"/>
        <v>9.1120396575342474E-2</v>
      </c>
      <c r="AK82" s="44">
        <f t="shared" si="61"/>
        <v>5.4508150205304515E-2</v>
      </c>
      <c r="AL82" s="44">
        <f t="shared" si="62"/>
        <v>2.314175634086444E-2</v>
      </c>
      <c r="AM82" s="44">
        <f t="shared" si="63"/>
        <v>0.26867102039801</v>
      </c>
      <c r="AN82" s="44">
        <f t="shared" si="64"/>
        <v>0.15529371910447762</v>
      </c>
      <c r="AO82" s="44">
        <f t="shared" si="47"/>
        <v>9.4573593833574096E-2</v>
      </c>
    </row>
    <row r="83" spans="1:41" ht="15.6" x14ac:dyDescent="0.25">
      <c r="A83" s="57"/>
      <c r="B83" s="62" t="s">
        <v>213</v>
      </c>
      <c r="C83" s="74">
        <v>2.288889647</v>
      </c>
      <c r="D83" s="74">
        <v>2.966861486</v>
      </c>
      <c r="E83" s="74">
        <v>2.7320873739999998</v>
      </c>
      <c r="F83" s="74">
        <v>1.434123874</v>
      </c>
      <c r="G83" s="74">
        <v>0.77659887080000001</v>
      </c>
      <c r="H83" s="74">
        <v>0.68810325859999999</v>
      </c>
      <c r="I83" s="74">
        <v>1.4472031590000001</v>
      </c>
      <c r="J83" s="74">
        <v>1.3905406</v>
      </c>
      <c r="K83" s="44">
        <f t="shared" si="46"/>
        <v>1.7340715171989836</v>
      </c>
      <c r="L83" s="44"/>
      <c r="N83">
        <v>0.95</v>
      </c>
      <c r="O83">
        <v>1</v>
      </c>
      <c r="P83">
        <v>0.95</v>
      </c>
      <c r="Q83">
        <v>1</v>
      </c>
      <c r="R83">
        <v>0.95</v>
      </c>
      <c r="S83">
        <v>0.95</v>
      </c>
      <c r="T83">
        <v>1</v>
      </c>
      <c r="U83">
        <v>1</v>
      </c>
      <c r="W83" s="44">
        <f t="shared" si="48"/>
        <v>2.1744451646499998</v>
      </c>
      <c r="X83" s="44">
        <f t="shared" si="49"/>
        <v>2.966861486</v>
      </c>
      <c r="Y83" s="44">
        <f t="shared" si="50"/>
        <v>2.5954830052999998</v>
      </c>
      <c r="Z83" s="44">
        <f t="shared" si="51"/>
        <v>1.434123874</v>
      </c>
      <c r="AA83" s="44">
        <f t="shared" si="52"/>
        <v>0.73776892725999998</v>
      </c>
      <c r="AB83" s="44">
        <f t="shared" si="53"/>
        <v>0.65369809566999992</v>
      </c>
      <c r="AC83" s="44">
        <f t="shared" si="54"/>
        <v>1.4472031590000001</v>
      </c>
      <c r="AD83" s="44">
        <f t="shared" si="55"/>
        <v>1.3905406</v>
      </c>
      <c r="AF83" s="61" t="str">
        <f t="shared" si="56"/>
        <v>O40</v>
      </c>
      <c r="AG83" s="44">
        <f t="shared" si="57"/>
        <v>0.2978692006369863</v>
      </c>
      <c r="AH83" s="44">
        <f t="shared" si="58"/>
        <v>0.40641938164383562</v>
      </c>
      <c r="AI83" s="44">
        <f t="shared" si="59"/>
        <v>0.35554561716438354</v>
      </c>
      <c r="AJ83" s="44">
        <f t="shared" si="60"/>
        <v>0.19645532520547945</v>
      </c>
      <c r="AK83" s="44">
        <f t="shared" si="61"/>
        <v>0.14494477942239686</v>
      </c>
      <c r="AL83" s="44">
        <f t="shared" si="62"/>
        <v>0.12842791663457759</v>
      </c>
      <c r="AM83" s="44">
        <f t="shared" si="63"/>
        <v>0.36000078582089556</v>
      </c>
      <c r="AN83" s="44">
        <f t="shared" si="64"/>
        <v>0.3459056218905473</v>
      </c>
      <c r="AO83" s="44">
        <f t="shared" si="47"/>
        <v>0.26513438288181801</v>
      </c>
    </row>
    <row r="84" spans="1:41" ht="15.6" x14ac:dyDescent="0.25">
      <c r="A84" s="60"/>
      <c r="B84" s="62" t="s">
        <v>214</v>
      </c>
      <c r="C84" s="74">
        <v>1.3322016000000001</v>
      </c>
      <c r="D84" s="74">
        <v>2.663094997</v>
      </c>
      <c r="E84" s="74">
        <v>2.643410206</v>
      </c>
      <c r="F84" s="74">
        <v>1.673775792</v>
      </c>
      <c r="G84" s="74">
        <v>1.0424304010000001</v>
      </c>
      <c r="H84" s="74">
        <v>0.90082526210000002</v>
      </c>
      <c r="I84" s="74">
        <v>0.95393961670000005</v>
      </c>
      <c r="J84" s="74">
        <v>0.80917114020000003</v>
      </c>
      <c r="K84" s="44">
        <f t="shared" si="46"/>
        <v>1.6527005925304961</v>
      </c>
      <c r="L84" s="58"/>
      <c r="N84">
        <v>0.95</v>
      </c>
      <c r="O84">
        <v>1</v>
      </c>
      <c r="P84">
        <v>0.95</v>
      </c>
      <c r="Q84">
        <v>1</v>
      </c>
      <c r="R84">
        <v>0.95</v>
      </c>
      <c r="S84">
        <v>0.95</v>
      </c>
      <c r="T84">
        <v>1</v>
      </c>
      <c r="U84">
        <v>1</v>
      </c>
      <c r="W84" s="44">
        <f t="shared" si="48"/>
        <v>1.2655915200000001</v>
      </c>
      <c r="X84" s="44">
        <f t="shared" si="49"/>
        <v>2.663094997</v>
      </c>
      <c r="Y84" s="44">
        <f t="shared" si="50"/>
        <v>2.5112396957000001</v>
      </c>
      <c r="Z84" s="44">
        <f t="shared" si="51"/>
        <v>1.673775792</v>
      </c>
      <c r="AA84" s="44">
        <f t="shared" si="52"/>
        <v>0.99030888095000003</v>
      </c>
      <c r="AB84" s="44">
        <f t="shared" si="53"/>
        <v>0.85578399899500002</v>
      </c>
      <c r="AC84" s="44">
        <f t="shared" si="54"/>
        <v>0.95393961670000005</v>
      </c>
      <c r="AD84" s="44">
        <f t="shared" si="55"/>
        <v>0.80917114020000003</v>
      </c>
      <c r="AF84" s="61" t="str">
        <f t="shared" si="56"/>
        <v>O41</v>
      </c>
      <c r="AG84" s="44">
        <f t="shared" si="57"/>
        <v>0.17336870136986302</v>
      </c>
      <c r="AH84" s="44">
        <f t="shared" si="58"/>
        <v>0.36480753383561643</v>
      </c>
      <c r="AI84" s="44">
        <f t="shared" si="59"/>
        <v>0.34400543776712328</v>
      </c>
      <c r="AJ84" s="44">
        <f t="shared" si="60"/>
        <v>0.22928435506849315</v>
      </c>
      <c r="AK84" s="44">
        <f t="shared" si="61"/>
        <v>0.19455970156188607</v>
      </c>
      <c r="AL84" s="44">
        <f t="shared" si="62"/>
        <v>0.16813045166895876</v>
      </c>
      <c r="AM84" s="44">
        <f t="shared" si="63"/>
        <v>0.2372984121144279</v>
      </c>
      <c r="AN84" s="44">
        <f t="shared" si="64"/>
        <v>0.20128635328358213</v>
      </c>
      <c r="AO84" s="44">
        <f t="shared" si="47"/>
        <v>0.24796193359533256</v>
      </c>
    </row>
    <row r="85" spans="1:41" ht="15.6" x14ac:dyDescent="0.25">
      <c r="A85" s="57"/>
      <c r="B85" s="62" t="s">
        <v>215</v>
      </c>
      <c r="C85" s="74">
        <v>0.50512349609999996</v>
      </c>
      <c r="D85" s="74">
        <v>0.55633419750000002</v>
      </c>
      <c r="E85" s="74">
        <v>2.4727060789999999</v>
      </c>
      <c r="F85" s="74">
        <v>2.1495406629999998</v>
      </c>
      <c r="G85" s="74">
        <v>0.93066906930000004</v>
      </c>
      <c r="H85" s="74">
        <v>0.80976265670000003</v>
      </c>
      <c r="I85" s="74">
        <v>1.1811220650000001</v>
      </c>
      <c r="J85" s="74">
        <v>0.93165212870000003</v>
      </c>
      <c r="K85" s="44">
        <f t="shared" si="46"/>
        <v>1.495982418840915</v>
      </c>
      <c r="L85" s="44"/>
      <c r="N85">
        <v>0.95</v>
      </c>
      <c r="O85">
        <v>1</v>
      </c>
      <c r="P85">
        <v>0.95</v>
      </c>
      <c r="Q85">
        <v>1</v>
      </c>
      <c r="R85">
        <v>0.95</v>
      </c>
      <c r="S85">
        <v>0.95</v>
      </c>
      <c r="T85">
        <v>1</v>
      </c>
      <c r="U85">
        <v>1</v>
      </c>
      <c r="W85" s="44">
        <f t="shared" si="48"/>
        <v>0.47986732129499993</v>
      </c>
      <c r="X85" s="44">
        <f t="shared" si="49"/>
        <v>0.55633419750000002</v>
      </c>
      <c r="Y85" s="44">
        <f t="shared" si="50"/>
        <v>2.3490707750499999</v>
      </c>
      <c r="Z85" s="44">
        <f t="shared" si="51"/>
        <v>2.1495406629999998</v>
      </c>
      <c r="AA85" s="44">
        <f t="shared" si="52"/>
        <v>0.884135615835</v>
      </c>
      <c r="AB85" s="44">
        <f t="shared" si="53"/>
        <v>0.76927452386499995</v>
      </c>
      <c r="AC85" s="44">
        <f t="shared" si="54"/>
        <v>1.1811220650000001</v>
      </c>
      <c r="AD85" s="44">
        <f t="shared" si="55"/>
        <v>0.93165212870000003</v>
      </c>
      <c r="AF85" s="61" t="str">
        <f t="shared" si="56"/>
        <v>O42</v>
      </c>
      <c r="AG85" s="44">
        <f t="shared" si="57"/>
        <v>6.5735249492465744E-2</v>
      </c>
      <c r="AH85" s="44">
        <f t="shared" si="58"/>
        <v>7.6210164041095901E-2</v>
      </c>
      <c r="AI85" s="44">
        <f t="shared" si="59"/>
        <v>0.32179051713013701</v>
      </c>
      <c r="AJ85" s="44">
        <f t="shared" si="60"/>
        <v>0.29445762506849316</v>
      </c>
      <c r="AK85" s="44">
        <f t="shared" si="61"/>
        <v>0.17370051391650296</v>
      </c>
      <c r="AL85" s="44">
        <f t="shared" si="62"/>
        <v>0.15113448405992141</v>
      </c>
      <c r="AM85" s="44">
        <f t="shared" si="63"/>
        <v>0.29381145895522393</v>
      </c>
      <c r="AN85" s="44">
        <f t="shared" si="64"/>
        <v>0.23175426087064679</v>
      </c>
      <c r="AO85" s="44">
        <f t="shared" si="47"/>
        <v>0.22908025066238064</v>
      </c>
    </row>
    <row r="86" spans="1:41" ht="15.6" x14ac:dyDescent="0.25">
      <c r="A86" s="60"/>
      <c r="B86" s="62" t="s">
        <v>216</v>
      </c>
      <c r="C86" s="74">
        <v>0.17776027320000001</v>
      </c>
      <c r="D86" s="74">
        <v>0.51876461510000005</v>
      </c>
      <c r="E86" s="74">
        <v>1.1789305210000001</v>
      </c>
      <c r="F86" s="74">
        <v>2.0329570769999998</v>
      </c>
      <c r="G86" s="74">
        <v>0.86809521909999998</v>
      </c>
      <c r="H86" s="74">
        <v>0.71774148940000004</v>
      </c>
      <c r="I86" s="74">
        <v>1.2310171130000001</v>
      </c>
      <c r="J86" s="74">
        <v>0.99215292929999999</v>
      </c>
      <c r="K86" s="44">
        <f t="shared" si="46"/>
        <v>1.196942890433037</v>
      </c>
      <c r="L86" s="58"/>
      <c r="N86">
        <v>0.95</v>
      </c>
      <c r="O86">
        <v>1</v>
      </c>
      <c r="P86">
        <v>0.95</v>
      </c>
      <c r="Q86">
        <v>1</v>
      </c>
      <c r="R86">
        <v>0.95</v>
      </c>
      <c r="S86">
        <v>0.95</v>
      </c>
      <c r="T86">
        <v>1</v>
      </c>
      <c r="U86">
        <v>1</v>
      </c>
      <c r="W86" s="44">
        <f t="shared" si="48"/>
        <v>0.16887225954000001</v>
      </c>
      <c r="X86" s="44">
        <f t="shared" si="49"/>
        <v>0.51876461510000005</v>
      </c>
      <c r="Y86" s="44">
        <f t="shared" si="50"/>
        <v>1.1199839949500001</v>
      </c>
      <c r="Z86" s="44">
        <f t="shared" si="51"/>
        <v>2.0329570769999998</v>
      </c>
      <c r="AA86" s="44">
        <f t="shared" si="52"/>
        <v>0.82469045814499997</v>
      </c>
      <c r="AB86" s="44">
        <f t="shared" si="53"/>
        <v>0.68185441492999999</v>
      </c>
      <c r="AC86" s="44">
        <f t="shared" si="54"/>
        <v>1.2310171130000001</v>
      </c>
      <c r="AD86" s="44">
        <f t="shared" si="55"/>
        <v>0.99215292929999999</v>
      </c>
      <c r="AF86" s="61" t="str">
        <f t="shared" si="56"/>
        <v>O43</v>
      </c>
      <c r="AG86" s="44">
        <f t="shared" si="57"/>
        <v>2.3133186238356168E-2</v>
      </c>
      <c r="AH86" s="44">
        <f t="shared" si="58"/>
        <v>7.1063645904109601E-2</v>
      </c>
      <c r="AI86" s="44">
        <f t="shared" si="59"/>
        <v>0.15342246506164386</v>
      </c>
      <c r="AJ86" s="44">
        <f t="shared" si="60"/>
        <v>0.27848727082191777</v>
      </c>
      <c r="AK86" s="44">
        <f t="shared" si="61"/>
        <v>0.16202170101080551</v>
      </c>
      <c r="AL86" s="44">
        <f t="shared" si="62"/>
        <v>0.1339596100058939</v>
      </c>
      <c r="AM86" s="44">
        <f t="shared" si="63"/>
        <v>0.306223162437811</v>
      </c>
      <c r="AN86" s="44">
        <f t="shared" si="64"/>
        <v>0.24680421126865673</v>
      </c>
      <c r="AO86" s="44">
        <f t="shared" si="47"/>
        <v>0.19006644875644285</v>
      </c>
    </row>
    <row r="87" spans="1:41" ht="15.6" x14ac:dyDescent="0.25">
      <c r="A87" s="57"/>
      <c r="B87" s="62" t="s">
        <v>217</v>
      </c>
      <c r="C87" s="74">
        <v>0.24624307449999999</v>
      </c>
      <c r="D87" s="74">
        <v>0.19220785800000001</v>
      </c>
      <c r="E87" s="74">
        <v>0.44322416190000002</v>
      </c>
      <c r="F87" s="74">
        <v>0.3558217883</v>
      </c>
      <c r="G87" s="74">
        <v>0.49822568890000002</v>
      </c>
      <c r="H87" s="74">
        <v>0.4642380774</v>
      </c>
      <c r="I87" s="74">
        <v>1.1402074099999999</v>
      </c>
      <c r="J87" s="74">
        <v>0.94411045309999997</v>
      </c>
      <c r="K87" s="44">
        <f t="shared" si="46"/>
        <v>0.4803595368602287</v>
      </c>
      <c r="L87" s="44"/>
      <c r="N87">
        <v>0.95</v>
      </c>
      <c r="O87">
        <v>1</v>
      </c>
      <c r="P87">
        <v>0.95</v>
      </c>
      <c r="Q87">
        <v>1</v>
      </c>
      <c r="R87">
        <v>0.95</v>
      </c>
      <c r="S87">
        <v>0.95</v>
      </c>
      <c r="T87">
        <v>1</v>
      </c>
      <c r="U87">
        <v>1</v>
      </c>
      <c r="W87" s="44">
        <f t="shared" si="48"/>
        <v>0.233930920775</v>
      </c>
      <c r="X87" s="44">
        <f t="shared" si="49"/>
        <v>0.19220785800000001</v>
      </c>
      <c r="Y87" s="44">
        <f t="shared" si="50"/>
        <v>0.42106295380500003</v>
      </c>
      <c r="Z87" s="44">
        <f t="shared" si="51"/>
        <v>0.3558217883</v>
      </c>
      <c r="AA87" s="44">
        <f t="shared" si="52"/>
        <v>0.473314404455</v>
      </c>
      <c r="AB87" s="44">
        <f t="shared" si="53"/>
        <v>0.44102617353000001</v>
      </c>
      <c r="AC87" s="44">
        <f t="shared" si="54"/>
        <v>1.1402074099999999</v>
      </c>
      <c r="AD87" s="44">
        <f t="shared" si="55"/>
        <v>0.94411045309999997</v>
      </c>
      <c r="AF87" s="61" t="str">
        <f t="shared" si="56"/>
        <v>O44</v>
      </c>
      <c r="AG87" s="44">
        <f t="shared" si="57"/>
        <v>3.2045331613013699E-2</v>
      </c>
      <c r="AH87" s="44">
        <f t="shared" si="58"/>
        <v>2.6329843561643838E-2</v>
      </c>
      <c r="AI87" s="44">
        <f t="shared" si="59"/>
        <v>5.7679856685616447E-2</v>
      </c>
      <c r="AJ87" s="44">
        <f t="shared" si="60"/>
        <v>4.87427107260274E-2</v>
      </c>
      <c r="AK87" s="44">
        <f t="shared" si="61"/>
        <v>9.2989077496070729E-2</v>
      </c>
      <c r="AL87" s="44">
        <f t="shared" si="62"/>
        <v>8.6645613660117887E-2</v>
      </c>
      <c r="AM87" s="44">
        <f t="shared" si="63"/>
        <v>0.28363368407960199</v>
      </c>
      <c r="AN87" s="44">
        <f t="shared" si="64"/>
        <v>0.23485334654228857</v>
      </c>
      <c r="AO87" s="44">
        <f t="shared" si="47"/>
        <v>8.8124223854385883E-2</v>
      </c>
    </row>
    <row r="88" spans="1:41" ht="15.6" x14ac:dyDescent="0.25">
      <c r="A88" s="60"/>
      <c r="B88" s="62" t="s">
        <v>218</v>
      </c>
      <c r="C88" s="74">
        <v>1.6573040489999999</v>
      </c>
      <c r="D88" s="74">
        <v>0.4877089262</v>
      </c>
      <c r="E88" s="74">
        <v>0.77316373589999998</v>
      </c>
      <c r="F88" s="74">
        <v>1.25659287</v>
      </c>
      <c r="G88" s="74">
        <v>0.23766425250000001</v>
      </c>
      <c r="H88" s="74">
        <v>0.97577416900000002</v>
      </c>
      <c r="I88" s="74">
        <v>0.31346267459999999</v>
      </c>
      <c r="J88" s="74">
        <v>0.48753067849999998</v>
      </c>
      <c r="K88" s="44">
        <f t="shared" si="46"/>
        <v>0.83282528970444736</v>
      </c>
      <c r="L88" s="58"/>
      <c r="N88">
        <v>0.95</v>
      </c>
      <c r="O88">
        <v>1</v>
      </c>
      <c r="P88">
        <v>0.95</v>
      </c>
      <c r="Q88">
        <v>1</v>
      </c>
      <c r="R88">
        <v>0.95</v>
      </c>
      <c r="S88">
        <v>0.95</v>
      </c>
      <c r="T88">
        <v>1</v>
      </c>
      <c r="U88">
        <v>1</v>
      </c>
      <c r="W88" s="44">
        <f t="shared" si="48"/>
        <v>1.5744388465499999</v>
      </c>
      <c r="X88" s="44">
        <f t="shared" si="49"/>
        <v>0.4877089262</v>
      </c>
      <c r="Y88" s="44">
        <f t="shared" si="50"/>
        <v>0.73450554910499999</v>
      </c>
      <c r="Z88" s="44">
        <f t="shared" si="51"/>
        <v>1.25659287</v>
      </c>
      <c r="AA88" s="44">
        <f t="shared" si="52"/>
        <v>0.22578103987500001</v>
      </c>
      <c r="AB88" s="44">
        <f t="shared" si="53"/>
        <v>0.92698546054999997</v>
      </c>
      <c r="AC88" s="44">
        <f t="shared" si="54"/>
        <v>0.31346267459999999</v>
      </c>
      <c r="AD88" s="44">
        <f t="shared" si="55"/>
        <v>0.48753067849999998</v>
      </c>
      <c r="AF88" s="61" t="str">
        <f t="shared" si="56"/>
        <v>O45</v>
      </c>
      <c r="AG88" s="44">
        <f t="shared" si="57"/>
        <v>0.21567655432191779</v>
      </c>
      <c r="AH88" s="44">
        <f t="shared" si="58"/>
        <v>6.6809441945205481E-2</v>
      </c>
      <c r="AI88" s="44">
        <f t="shared" si="59"/>
        <v>0.10061719850753424</v>
      </c>
      <c r="AJ88" s="44">
        <f t="shared" si="60"/>
        <v>0.1721360095890411</v>
      </c>
      <c r="AK88" s="44">
        <f t="shared" si="61"/>
        <v>4.4357768148330062E-2</v>
      </c>
      <c r="AL88" s="44">
        <f t="shared" si="62"/>
        <v>0.18211895099214145</v>
      </c>
      <c r="AM88" s="44">
        <f t="shared" si="63"/>
        <v>7.7975789701492548E-2</v>
      </c>
      <c r="AN88" s="44">
        <f t="shared" si="64"/>
        <v>0.12127628818407961</v>
      </c>
      <c r="AO88" s="44">
        <f t="shared" si="47"/>
        <v>0.12403635829919064</v>
      </c>
    </row>
    <row r="89" spans="1:41" ht="15.6" x14ac:dyDescent="0.25">
      <c r="A89" s="57"/>
      <c r="B89" s="62" t="s">
        <v>219</v>
      </c>
      <c r="C89" s="74">
        <v>1.4868787530000001</v>
      </c>
      <c r="D89" s="74">
        <v>0.32642123099999998</v>
      </c>
      <c r="E89" s="74">
        <v>0.3750084937</v>
      </c>
      <c r="F89" s="74">
        <v>1.187217116</v>
      </c>
      <c r="G89" s="74">
        <v>0.55056136850000004</v>
      </c>
      <c r="H89" s="74">
        <v>0.87998318669999998</v>
      </c>
      <c r="I89" s="74">
        <v>1.175956845</v>
      </c>
      <c r="J89" s="74">
        <v>0.84693598749999999</v>
      </c>
      <c r="K89" s="44">
        <f t="shared" si="46"/>
        <v>0.84594996970533676</v>
      </c>
      <c r="L89" s="44"/>
      <c r="N89">
        <v>0.95</v>
      </c>
      <c r="O89">
        <v>1</v>
      </c>
      <c r="P89">
        <v>0.95</v>
      </c>
      <c r="Q89">
        <v>1</v>
      </c>
      <c r="R89">
        <v>0.95</v>
      </c>
      <c r="S89">
        <v>0.95</v>
      </c>
      <c r="T89">
        <v>1</v>
      </c>
      <c r="U89">
        <v>1</v>
      </c>
      <c r="W89" s="44">
        <f t="shared" si="48"/>
        <v>1.4125348153499999</v>
      </c>
      <c r="X89" s="44">
        <f t="shared" si="49"/>
        <v>0.32642123099999998</v>
      </c>
      <c r="Y89" s="44">
        <f t="shared" si="50"/>
        <v>0.35625806901500001</v>
      </c>
      <c r="Z89" s="44">
        <f t="shared" si="51"/>
        <v>1.187217116</v>
      </c>
      <c r="AA89" s="44">
        <f t="shared" si="52"/>
        <v>0.52303330007500004</v>
      </c>
      <c r="AB89" s="44">
        <f t="shared" si="53"/>
        <v>0.83598402736499988</v>
      </c>
      <c r="AC89" s="44">
        <f t="shared" si="54"/>
        <v>1.175956845</v>
      </c>
      <c r="AD89" s="44">
        <f t="shared" si="55"/>
        <v>0.84693598749999999</v>
      </c>
      <c r="AF89" s="61" t="str">
        <f t="shared" si="56"/>
        <v>O46</v>
      </c>
      <c r="AG89" s="44">
        <f t="shared" si="57"/>
        <v>0.19349791991095891</v>
      </c>
      <c r="AH89" s="44">
        <f t="shared" si="58"/>
        <v>4.471523712328767E-2</v>
      </c>
      <c r="AI89" s="44">
        <f t="shared" si="59"/>
        <v>4.8802475207534252E-2</v>
      </c>
      <c r="AJ89" s="44">
        <f t="shared" si="60"/>
        <v>0.16263248164383562</v>
      </c>
      <c r="AK89" s="44">
        <f t="shared" si="61"/>
        <v>0.10275703341355601</v>
      </c>
      <c r="AL89" s="44">
        <f t="shared" si="62"/>
        <v>0.16424047688899801</v>
      </c>
      <c r="AM89" s="44">
        <f t="shared" si="63"/>
        <v>0.292526578358209</v>
      </c>
      <c r="AN89" s="44">
        <f t="shared" si="64"/>
        <v>0.21068059390547267</v>
      </c>
      <c r="AO89" s="44">
        <f t="shared" si="47"/>
        <v>0.13888686774778858</v>
      </c>
    </row>
    <row r="90" spans="1:41" ht="15.6" x14ac:dyDescent="0.25">
      <c r="A90" s="60"/>
      <c r="B90" s="62" t="s">
        <v>220</v>
      </c>
      <c r="C90" s="74">
        <v>0.88688647750000005</v>
      </c>
      <c r="D90" s="74">
        <v>0.19403798880000001</v>
      </c>
      <c r="E90" s="74">
        <v>1.3402059079999999</v>
      </c>
      <c r="F90" s="74">
        <v>0.97889709469999997</v>
      </c>
      <c r="G90" s="74">
        <v>0.83808678390000002</v>
      </c>
      <c r="H90" s="74">
        <v>0.67593032119999996</v>
      </c>
      <c r="I90" s="74">
        <v>1.1689040660000001</v>
      </c>
      <c r="J90" s="74">
        <v>0.90850764510000004</v>
      </c>
      <c r="K90" s="44">
        <f t="shared" si="46"/>
        <v>0.92967417902566718</v>
      </c>
      <c r="L90" s="58"/>
      <c r="N90">
        <v>0.95</v>
      </c>
      <c r="O90">
        <v>1</v>
      </c>
      <c r="P90">
        <v>0.95</v>
      </c>
      <c r="Q90">
        <v>1</v>
      </c>
      <c r="R90">
        <v>0.95</v>
      </c>
      <c r="S90">
        <v>0.95</v>
      </c>
      <c r="T90">
        <v>1</v>
      </c>
      <c r="U90">
        <v>1</v>
      </c>
      <c r="W90" s="44">
        <f t="shared" si="48"/>
        <v>0.84254215362499996</v>
      </c>
      <c r="X90" s="44">
        <f t="shared" si="49"/>
        <v>0.19403798880000001</v>
      </c>
      <c r="Y90" s="44">
        <f t="shared" si="50"/>
        <v>1.2731956125999999</v>
      </c>
      <c r="Z90" s="44">
        <f t="shared" si="51"/>
        <v>0.97889709469999997</v>
      </c>
      <c r="AA90" s="44">
        <f t="shared" si="52"/>
        <v>0.79618244470499999</v>
      </c>
      <c r="AB90" s="44">
        <f t="shared" si="53"/>
        <v>0.64213380513999996</v>
      </c>
      <c r="AC90" s="44">
        <f t="shared" si="54"/>
        <v>1.1689040660000001</v>
      </c>
      <c r="AD90" s="44">
        <f t="shared" si="55"/>
        <v>0.90850764510000004</v>
      </c>
      <c r="AF90" s="61" t="str">
        <f t="shared" si="56"/>
        <v>O47</v>
      </c>
      <c r="AG90" s="44">
        <f t="shared" si="57"/>
        <v>0.11541673337328767</v>
      </c>
      <c r="AH90" s="44">
        <f t="shared" si="58"/>
        <v>2.6580546410958906E-2</v>
      </c>
      <c r="AI90" s="44">
        <f t="shared" si="59"/>
        <v>0.17441035789041096</v>
      </c>
      <c r="AJ90" s="44">
        <f t="shared" si="60"/>
        <v>0.13409549242465754</v>
      </c>
      <c r="AK90" s="44">
        <f t="shared" si="61"/>
        <v>0.1564209125157171</v>
      </c>
      <c r="AL90" s="44">
        <f t="shared" si="62"/>
        <v>0.12615595385854617</v>
      </c>
      <c r="AM90" s="44">
        <f t="shared" si="63"/>
        <v>0.29077215572139309</v>
      </c>
      <c r="AN90" s="44">
        <f t="shared" si="64"/>
        <v>0.22599692664179108</v>
      </c>
      <c r="AO90" s="44">
        <f t="shared" si="47"/>
        <v>0.15128355442636404</v>
      </c>
    </row>
    <row r="91" spans="1:41" ht="15.6" x14ac:dyDescent="0.25">
      <c r="A91" s="57"/>
      <c r="B91" s="62" t="s">
        <v>221</v>
      </c>
      <c r="C91" s="74">
        <v>2.9612801970000002E-2</v>
      </c>
      <c r="D91" s="74">
        <v>0.46421316270000001</v>
      </c>
      <c r="E91" s="74">
        <v>0.68777459860000001</v>
      </c>
      <c r="F91" s="74">
        <v>0.38707804680000002</v>
      </c>
      <c r="G91" s="74">
        <v>0.52379065749999998</v>
      </c>
      <c r="H91" s="74">
        <v>0.2292701751</v>
      </c>
      <c r="I91" s="74">
        <v>0.90143543479999999</v>
      </c>
      <c r="J91" s="74">
        <v>0.43070685860000002</v>
      </c>
      <c r="K91" s="44">
        <f t="shared" si="46"/>
        <v>0.47275777572702671</v>
      </c>
      <c r="L91" s="44"/>
      <c r="N91">
        <v>0.95</v>
      </c>
      <c r="O91">
        <v>1</v>
      </c>
      <c r="P91">
        <v>0.95</v>
      </c>
      <c r="Q91">
        <v>1</v>
      </c>
      <c r="R91">
        <v>0.95</v>
      </c>
      <c r="S91">
        <v>0.95</v>
      </c>
      <c r="T91">
        <v>1</v>
      </c>
      <c r="U91">
        <v>1</v>
      </c>
      <c r="W91" s="44">
        <f t="shared" si="48"/>
        <v>2.81321618715E-2</v>
      </c>
      <c r="X91" s="44">
        <f t="shared" si="49"/>
        <v>0.46421316270000001</v>
      </c>
      <c r="Y91" s="44">
        <f t="shared" si="50"/>
        <v>0.65338586866999993</v>
      </c>
      <c r="Z91" s="44">
        <f t="shared" si="51"/>
        <v>0.38707804680000002</v>
      </c>
      <c r="AA91" s="44">
        <f t="shared" si="52"/>
        <v>0.49760112462499995</v>
      </c>
      <c r="AB91" s="44">
        <f t="shared" si="53"/>
        <v>0.21780666634499998</v>
      </c>
      <c r="AC91" s="44">
        <f t="shared" si="54"/>
        <v>0.90143543479999999</v>
      </c>
      <c r="AD91" s="44">
        <f t="shared" si="55"/>
        <v>0.43070685860000002</v>
      </c>
      <c r="AF91" s="61" t="str">
        <f t="shared" si="56"/>
        <v>O48</v>
      </c>
      <c r="AG91" s="44">
        <f t="shared" si="57"/>
        <v>3.8537208043150687E-3</v>
      </c>
      <c r="AH91" s="44">
        <f t="shared" si="58"/>
        <v>6.359084420547946E-2</v>
      </c>
      <c r="AI91" s="44">
        <f t="shared" si="59"/>
        <v>8.9504913516438342E-2</v>
      </c>
      <c r="AJ91" s="44">
        <f t="shared" si="60"/>
        <v>5.3024389972602747E-2</v>
      </c>
      <c r="AK91" s="44">
        <f t="shared" si="61"/>
        <v>9.7760535289783887E-2</v>
      </c>
      <c r="AL91" s="44">
        <f t="shared" si="62"/>
        <v>4.279109358447937E-2</v>
      </c>
      <c r="AM91" s="44">
        <f t="shared" si="63"/>
        <v>0.22423767034825873</v>
      </c>
      <c r="AN91" s="44">
        <f t="shared" si="64"/>
        <v>0.10714100960199006</v>
      </c>
      <c r="AO91" s="44">
        <f t="shared" si="47"/>
        <v>7.988889360872875E-2</v>
      </c>
    </row>
    <row r="92" spans="1:41" ht="15.6" x14ac:dyDescent="0.25">
      <c r="A92" s="60"/>
      <c r="B92" s="62" t="s">
        <v>222</v>
      </c>
      <c r="C92" s="74">
        <v>0.17471022899999999</v>
      </c>
      <c r="D92" s="74">
        <v>0.78976958990000001</v>
      </c>
      <c r="E92" s="74">
        <v>2.3116779329999999</v>
      </c>
      <c r="F92" s="74">
        <v>1.054766536</v>
      </c>
      <c r="G92" s="74">
        <v>0.65884989500000002</v>
      </c>
      <c r="H92" s="74">
        <v>0.77435046429999999</v>
      </c>
      <c r="I92" s="74">
        <v>1.2554123399999999</v>
      </c>
      <c r="J92" s="74">
        <v>1.0360194439999999</v>
      </c>
      <c r="K92" s="44">
        <f t="shared" si="46"/>
        <v>1.1242322989203306</v>
      </c>
      <c r="L92" s="58"/>
      <c r="N92">
        <v>0.95</v>
      </c>
      <c r="O92">
        <v>1</v>
      </c>
      <c r="P92">
        <v>0.95</v>
      </c>
      <c r="Q92">
        <v>1</v>
      </c>
      <c r="R92">
        <v>0.95</v>
      </c>
      <c r="S92">
        <v>0.95</v>
      </c>
      <c r="T92">
        <v>1</v>
      </c>
      <c r="U92">
        <v>1</v>
      </c>
      <c r="W92" s="44">
        <f t="shared" si="48"/>
        <v>0.16597471754999998</v>
      </c>
      <c r="X92" s="44">
        <f t="shared" si="49"/>
        <v>0.78976958990000001</v>
      </c>
      <c r="Y92" s="44">
        <f t="shared" si="50"/>
        <v>2.1960940363499999</v>
      </c>
      <c r="Z92" s="44">
        <f t="shared" si="51"/>
        <v>1.054766536</v>
      </c>
      <c r="AA92" s="44">
        <f t="shared" si="52"/>
        <v>0.62590740025000002</v>
      </c>
      <c r="AB92" s="44">
        <f t="shared" si="53"/>
        <v>0.73563294108499999</v>
      </c>
      <c r="AC92" s="44">
        <f t="shared" si="54"/>
        <v>1.2554123399999999</v>
      </c>
      <c r="AD92" s="44">
        <f t="shared" si="55"/>
        <v>1.0360194439999999</v>
      </c>
      <c r="AF92" s="61" t="str">
        <f t="shared" si="56"/>
        <v>O49</v>
      </c>
      <c r="AG92" s="44">
        <f t="shared" si="57"/>
        <v>2.2736262678082191E-2</v>
      </c>
      <c r="AH92" s="44">
        <f t="shared" si="58"/>
        <v>0.10818761505479453</v>
      </c>
      <c r="AI92" s="44">
        <f t="shared" si="59"/>
        <v>0.30083479949999997</v>
      </c>
      <c r="AJ92" s="44">
        <f t="shared" si="60"/>
        <v>0.14448856657534248</v>
      </c>
      <c r="AK92" s="44">
        <f t="shared" si="61"/>
        <v>0.12296805505893911</v>
      </c>
      <c r="AL92" s="44">
        <f t="shared" si="62"/>
        <v>0.14452513577308448</v>
      </c>
      <c r="AM92" s="44">
        <f t="shared" si="63"/>
        <v>0.31229162686567163</v>
      </c>
      <c r="AN92" s="44">
        <f t="shared" si="64"/>
        <v>0.25771627960199006</v>
      </c>
      <c r="AO92" s="44">
        <f t="shared" si="47"/>
        <v>0.17803379650150475</v>
      </c>
    </row>
    <row r="93" spans="1:41" ht="15.6" x14ac:dyDescent="0.25">
      <c r="A93" s="57"/>
      <c r="B93" s="62" t="s">
        <v>223</v>
      </c>
      <c r="C93" s="74">
        <v>0.42811024190000002</v>
      </c>
      <c r="D93" s="74">
        <v>1.045706749</v>
      </c>
      <c r="E93" s="74">
        <v>2.267900467</v>
      </c>
      <c r="F93" s="74">
        <v>1.3247321839999999</v>
      </c>
      <c r="G93" s="74">
        <v>0.36066812279999999</v>
      </c>
      <c r="H93" s="74">
        <v>0.69509667159999999</v>
      </c>
      <c r="I93" s="74">
        <v>1.5033940079999999</v>
      </c>
      <c r="J93" s="74">
        <v>1.1396224500000001</v>
      </c>
      <c r="K93" s="44">
        <f t="shared" si="46"/>
        <v>1.2178928624288439</v>
      </c>
      <c r="L93" s="44"/>
      <c r="N93">
        <v>0.95</v>
      </c>
      <c r="O93">
        <v>1</v>
      </c>
      <c r="P93">
        <v>0.95</v>
      </c>
      <c r="Q93">
        <v>1</v>
      </c>
      <c r="R93">
        <v>0.95</v>
      </c>
      <c r="S93">
        <v>0.95</v>
      </c>
      <c r="T93">
        <v>1</v>
      </c>
      <c r="U93">
        <v>1</v>
      </c>
      <c r="W93" s="44">
        <f t="shared" si="48"/>
        <v>0.406704729805</v>
      </c>
      <c r="X93" s="44">
        <f t="shared" si="49"/>
        <v>1.045706749</v>
      </c>
      <c r="Y93" s="44">
        <f t="shared" si="50"/>
        <v>2.1545054436499997</v>
      </c>
      <c r="Z93" s="44">
        <f t="shared" si="51"/>
        <v>1.3247321839999999</v>
      </c>
      <c r="AA93" s="44">
        <f t="shared" si="52"/>
        <v>0.34263471665999995</v>
      </c>
      <c r="AB93" s="44">
        <f t="shared" si="53"/>
        <v>0.66034183802000002</v>
      </c>
      <c r="AC93" s="44">
        <f t="shared" si="54"/>
        <v>1.5033940079999999</v>
      </c>
      <c r="AD93" s="44">
        <f t="shared" si="55"/>
        <v>1.1396224500000001</v>
      </c>
      <c r="AF93" s="61" t="str">
        <f t="shared" si="56"/>
        <v>O50</v>
      </c>
      <c r="AG93" s="44">
        <f t="shared" si="57"/>
        <v>5.5712976685616436E-2</v>
      </c>
      <c r="AH93" s="44">
        <f t="shared" si="58"/>
        <v>0.14324749986301372</v>
      </c>
      <c r="AI93" s="44">
        <f t="shared" si="59"/>
        <v>0.29513773200684928</v>
      </c>
      <c r="AJ93" s="44">
        <f t="shared" si="60"/>
        <v>0.1814701621917808</v>
      </c>
      <c r="AK93" s="44">
        <f t="shared" si="61"/>
        <v>6.7315268499017672E-2</v>
      </c>
      <c r="AL93" s="44">
        <f t="shared" si="62"/>
        <v>0.12973317053438116</v>
      </c>
      <c r="AM93" s="44">
        <f t="shared" si="63"/>
        <v>0.37397860895522389</v>
      </c>
      <c r="AN93" s="44">
        <f t="shared" si="64"/>
        <v>0.28348817164179108</v>
      </c>
      <c r="AO93" s="44">
        <f t="shared" si="47"/>
        <v>0.191481193475634</v>
      </c>
    </row>
    <row r="94" spans="1:41" ht="15.6" x14ac:dyDescent="0.25">
      <c r="A94" s="60"/>
      <c r="B94" s="62" t="s">
        <v>224</v>
      </c>
      <c r="C94" s="74">
        <v>0.74164545540000004</v>
      </c>
      <c r="D94" s="74">
        <v>1.9535160060000001</v>
      </c>
      <c r="E94" s="74">
        <v>2.8585391040000001</v>
      </c>
      <c r="F94" s="74">
        <v>1.896470428</v>
      </c>
      <c r="G94" s="74">
        <v>0.84463286400000004</v>
      </c>
      <c r="H94" s="74">
        <v>0.91959619520000002</v>
      </c>
      <c r="I94" s="74">
        <v>1.192036629</v>
      </c>
      <c r="J94" s="74">
        <v>0.96111267810000001</v>
      </c>
      <c r="K94" s="44">
        <f t="shared" si="46"/>
        <v>1.6438547336097844</v>
      </c>
      <c r="L94" s="58"/>
      <c r="N94">
        <v>0.95</v>
      </c>
      <c r="O94">
        <v>1</v>
      </c>
      <c r="P94">
        <v>0.95</v>
      </c>
      <c r="Q94">
        <v>1</v>
      </c>
      <c r="R94">
        <v>0.95</v>
      </c>
      <c r="S94">
        <v>0.95</v>
      </c>
      <c r="T94">
        <v>1</v>
      </c>
      <c r="U94">
        <v>1</v>
      </c>
      <c r="W94" s="44">
        <f t="shared" si="48"/>
        <v>0.70456318263000006</v>
      </c>
      <c r="X94" s="44">
        <f t="shared" si="49"/>
        <v>1.9535160060000001</v>
      </c>
      <c r="Y94" s="44">
        <f t="shared" si="50"/>
        <v>2.7156121488</v>
      </c>
      <c r="Z94" s="44">
        <f t="shared" si="51"/>
        <v>1.896470428</v>
      </c>
      <c r="AA94" s="44">
        <f t="shared" si="52"/>
        <v>0.80240122079999998</v>
      </c>
      <c r="AB94" s="44">
        <f t="shared" si="53"/>
        <v>0.87361638543999998</v>
      </c>
      <c r="AC94" s="44">
        <f t="shared" si="54"/>
        <v>1.192036629</v>
      </c>
      <c r="AD94" s="44">
        <f t="shared" si="55"/>
        <v>0.96111267810000001</v>
      </c>
      <c r="AF94" s="61" t="str">
        <f t="shared" si="56"/>
        <v>O51</v>
      </c>
      <c r="AG94" s="44">
        <f t="shared" si="57"/>
        <v>9.6515504469863025E-2</v>
      </c>
      <c r="AH94" s="44">
        <f t="shared" si="58"/>
        <v>0.26760493232876714</v>
      </c>
      <c r="AI94" s="44">
        <f t="shared" si="59"/>
        <v>0.37200166421917807</v>
      </c>
      <c r="AJ94" s="44">
        <f t="shared" si="60"/>
        <v>0.25979046958904112</v>
      </c>
      <c r="AK94" s="44">
        <f t="shared" si="61"/>
        <v>0.15764267599214146</v>
      </c>
      <c r="AL94" s="44">
        <f t="shared" si="62"/>
        <v>0.17163386747347742</v>
      </c>
      <c r="AM94" s="44">
        <f t="shared" si="63"/>
        <v>0.29652652462686568</v>
      </c>
      <c r="AN94" s="44">
        <f t="shared" si="64"/>
        <v>0.23908275574626869</v>
      </c>
      <c r="AO94" s="44">
        <f t="shared" si="47"/>
        <v>0.24884875273822707</v>
      </c>
    </row>
    <row r="95" spans="1:41" ht="15.6" x14ac:dyDescent="0.25">
      <c r="A95" s="57"/>
      <c r="B95" s="62" t="s">
        <v>232</v>
      </c>
      <c r="C95" s="74">
        <v>1.3534566159999999</v>
      </c>
      <c r="D95" s="74">
        <v>2.7450199130000001</v>
      </c>
      <c r="E95" s="74">
        <v>2.4563238620000001</v>
      </c>
      <c r="F95" s="74">
        <v>1.60457921</v>
      </c>
      <c r="G95" s="74">
        <v>0.22352258859999999</v>
      </c>
      <c r="H95" s="74">
        <v>0.86384332180000001</v>
      </c>
      <c r="I95" s="74">
        <v>1.4593523740000001</v>
      </c>
      <c r="J95" s="74">
        <v>1.2733912469999999</v>
      </c>
      <c r="K95" s="44">
        <f t="shared" si="46"/>
        <v>1.565822953043202</v>
      </c>
      <c r="L95" s="44"/>
      <c r="N95">
        <v>0.95</v>
      </c>
      <c r="O95">
        <v>1</v>
      </c>
      <c r="P95">
        <v>0.95</v>
      </c>
      <c r="Q95">
        <v>1</v>
      </c>
      <c r="R95">
        <v>0.95</v>
      </c>
      <c r="S95">
        <v>0.95</v>
      </c>
      <c r="T95">
        <v>1</v>
      </c>
      <c r="U95">
        <v>1</v>
      </c>
      <c r="W95" s="44">
        <f t="shared" si="48"/>
        <v>1.2857837851999998</v>
      </c>
      <c r="X95" s="44">
        <f t="shared" si="49"/>
        <v>2.7450199130000001</v>
      </c>
      <c r="Y95" s="44">
        <f t="shared" si="50"/>
        <v>2.3335076688999998</v>
      </c>
      <c r="Z95" s="44">
        <f t="shared" si="51"/>
        <v>1.60457921</v>
      </c>
      <c r="AA95" s="44">
        <f t="shared" si="52"/>
        <v>0.21234645916999997</v>
      </c>
      <c r="AB95" s="44">
        <f t="shared" si="53"/>
        <v>0.82065115571000002</v>
      </c>
      <c r="AC95" s="44">
        <f t="shared" si="54"/>
        <v>1.4593523740000001</v>
      </c>
      <c r="AD95" s="44">
        <f t="shared" si="55"/>
        <v>1.2733912469999999</v>
      </c>
      <c r="AF95" s="61" t="str">
        <f t="shared" si="56"/>
        <v>O52</v>
      </c>
      <c r="AG95" s="44">
        <f t="shared" si="57"/>
        <v>0.17613476509589038</v>
      </c>
      <c r="AH95" s="44">
        <f t="shared" si="58"/>
        <v>0.3760301250684932</v>
      </c>
      <c r="AI95" s="44">
        <f t="shared" si="59"/>
        <v>0.31965858478082187</v>
      </c>
      <c r="AJ95" s="44">
        <f t="shared" si="60"/>
        <v>0.21980537123287672</v>
      </c>
      <c r="AK95" s="44">
        <f t="shared" si="61"/>
        <v>4.1718361330058934E-2</v>
      </c>
      <c r="AL95" s="44">
        <f t="shared" si="62"/>
        <v>0.16122812489390964</v>
      </c>
      <c r="AM95" s="44">
        <f t="shared" si="63"/>
        <v>0.36302297860696525</v>
      </c>
      <c r="AN95" s="44">
        <f t="shared" si="64"/>
        <v>0.31676399179104481</v>
      </c>
      <c r="AO95" s="44">
        <f t="shared" si="47"/>
        <v>0.23875889388701957</v>
      </c>
    </row>
    <row r="96" spans="1:41" ht="15.6" x14ac:dyDescent="0.25">
      <c r="A96" s="60"/>
      <c r="B96" s="62" t="s">
        <v>233</v>
      </c>
      <c r="C96" s="74">
        <v>0.84786891939999998</v>
      </c>
      <c r="D96" s="74">
        <v>2.5143976210000001</v>
      </c>
      <c r="E96" s="74">
        <v>2.134110212</v>
      </c>
      <c r="F96" s="74">
        <v>0.92688202860000002</v>
      </c>
      <c r="G96" s="74">
        <v>0.37843951580000001</v>
      </c>
      <c r="H96" s="74">
        <v>0.61177563670000001</v>
      </c>
      <c r="I96" s="74">
        <v>1.636483431</v>
      </c>
      <c r="J96" s="74">
        <v>1.438673377</v>
      </c>
      <c r="K96" s="44">
        <f t="shared" si="46"/>
        <v>1.2845142393371032</v>
      </c>
      <c r="L96" s="58"/>
      <c r="N96">
        <v>0.95</v>
      </c>
      <c r="O96">
        <v>1</v>
      </c>
      <c r="P96">
        <v>0.95</v>
      </c>
      <c r="Q96">
        <v>1</v>
      </c>
      <c r="R96">
        <v>0.95</v>
      </c>
      <c r="S96">
        <v>0.95</v>
      </c>
      <c r="T96">
        <v>1</v>
      </c>
      <c r="U96">
        <v>1</v>
      </c>
      <c r="W96" s="44">
        <f t="shared" si="48"/>
        <v>0.80547547342999992</v>
      </c>
      <c r="X96" s="44">
        <f t="shared" si="49"/>
        <v>2.5143976210000001</v>
      </c>
      <c r="Y96" s="44">
        <f t="shared" si="50"/>
        <v>2.0274047014000001</v>
      </c>
      <c r="Z96" s="44">
        <f t="shared" si="51"/>
        <v>0.92688202860000002</v>
      </c>
      <c r="AA96" s="44">
        <f t="shared" si="52"/>
        <v>0.35951754000999997</v>
      </c>
      <c r="AB96" s="44">
        <f t="shared" si="53"/>
        <v>0.58118685486499999</v>
      </c>
      <c r="AC96" s="44">
        <f t="shared" si="54"/>
        <v>1.636483431</v>
      </c>
      <c r="AD96" s="44">
        <f t="shared" si="55"/>
        <v>1.438673377</v>
      </c>
      <c r="AF96" s="61" t="str">
        <f t="shared" si="56"/>
        <v>O53</v>
      </c>
      <c r="AG96" s="44">
        <f t="shared" si="57"/>
        <v>0.11033910594931506</v>
      </c>
      <c r="AH96" s="44">
        <f t="shared" si="58"/>
        <v>0.34443803027397263</v>
      </c>
      <c r="AI96" s="44">
        <f t="shared" si="59"/>
        <v>0.27772667142465757</v>
      </c>
      <c r="AJ96" s="44">
        <f t="shared" si="60"/>
        <v>0.1269701409041096</v>
      </c>
      <c r="AK96" s="44">
        <f t="shared" si="61"/>
        <v>7.0632129667976426E-2</v>
      </c>
      <c r="AL96" s="44">
        <f t="shared" si="62"/>
        <v>0.11418209329371316</v>
      </c>
      <c r="AM96" s="44">
        <f t="shared" si="63"/>
        <v>0.40708543059701496</v>
      </c>
      <c r="AN96" s="44">
        <f t="shared" si="64"/>
        <v>0.35787894950248761</v>
      </c>
      <c r="AO96" s="44">
        <f t="shared" si="47"/>
        <v>0.20407110993898445</v>
      </c>
    </row>
    <row r="97" spans="1:41" ht="15.6" x14ac:dyDescent="0.25">
      <c r="A97" s="57"/>
      <c r="B97" s="62" t="s">
        <v>234</v>
      </c>
      <c r="C97" s="74">
        <v>0.30023580789999998</v>
      </c>
      <c r="D97" s="74">
        <v>2.4081273080000001</v>
      </c>
      <c r="E97" s="74">
        <v>2.0431044100000002</v>
      </c>
      <c r="F97" s="74">
        <v>1.2647323610000001</v>
      </c>
      <c r="G97" s="74">
        <v>0.50657677649999999</v>
      </c>
      <c r="H97" s="74">
        <v>0.87578034400000004</v>
      </c>
      <c r="I97" s="74">
        <v>1.4186804289999999</v>
      </c>
      <c r="J97" s="74">
        <v>1.1734614370000001</v>
      </c>
      <c r="K97" s="44">
        <f t="shared" si="46"/>
        <v>1.3110168362381198</v>
      </c>
      <c r="L97" s="44"/>
      <c r="N97">
        <v>0.95</v>
      </c>
      <c r="O97">
        <v>1</v>
      </c>
      <c r="P97">
        <v>0.95</v>
      </c>
      <c r="Q97">
        <v>1</v>
      </c>
      <c r="R97">
        <v>0.95</v>
      </c>
      <c r="S97">
        <v>0.95</v>
      </c>
      <c r="T97">
        <v>1</v>
      </c>
      <c r="U97">
        <v>1</v>
      </c>
      <c r="W97" s="44">
        <f t="shared" si="48"/>
        <v>0.28522401750499998</v>
      </c>
      <c r="X97" s="44">
        <f t="shared" si="49"/>
        <v>2.4081273080000001</v>
      </c>
      <c r="Y97" s="44">
        <f t="shared" si="50"/>
        <v>1.9409491895000002</v>
      </c>
      <c r="Z97" s="44">
        <f t="shared" si="51"/>
        <v>1.2647323610000001</v>
      </c>
      <c r="AA97" s="44">
        <f t="shared" si="52"/>
        <v>0.48124793767499996</v>
      </c>
      <c r="AB97" s="44">
        <f t="shared" si="53"/>
        <v>0.83199132679999999</v>
      </c>
      <c r="AC97" s="44">
        <f t="shared" si="54"/>
        <v>1.4186804289999999</v>
      </c>
      <c r="AD97" s="44">
        <f t="shared" si="55"/>
        <v>1.1734614370000001</v>
      </c>
      <c r="AF97" s="61" t="str">
        <f t="shared" si="56"/>
        <v>O54</v>
      </c>
      <c r="AG97" s="44">
        <f t="shared" si="57"/>
        <v>3.9071783219863016E-2</v>
      </c>
      <c r="AH97" s="44">
        <f t="shared" si="58"/>
        <v>0.32988045315068493</v>
      </c>
      <c r="AI97" s="44">
        <f t="shared" si="59"/>
        <v>0.26588345061643837</v>
      </c>
      <c r="AJ97" s="44">
        <f t="shared" si="60"/>
        <v>0.17325100835616439</v>
      </c>
      <c r="AK97" s="44">
        <f t="shared" si="61"/>
        <v>9.4547728423379163E-2</v>
      </c>
      <c r="AL97" s="44">
        <f t="shared" si="62"/>
        <v>0.16345605634577604</v>
      </c>
      <c r="AM97" s="44">
        <f t="shared" si="63"/>
        <v>0.35290557935323386</v>
      </c>
      <c r="AN97" s="44">
        <f t="shared" si="64"/>
        <v>0.29190583009950255</v>
      </c>
      <c r="AO97" s="44">
        <f t="shared" si="47"/>
        <v>0.20574334424319493</v>
      </c>
    </row>
    <row r="98" spans="1:41" ht="15.6" x14ac:dyDescent="0.25">
      <c r="A98" s="60"/>
      <c r="B98" s="62" t="s">
        <v>235</v>
      </c>
      <c r="C98" s="74">
        <v>0.46664094919999999</v>
      </c>
      <c r="D98" s="74">
        <v>0.69970315689999996</v>
      </c>
      <c r="E98" s="74">
        <v>0.64712631700000001</v>
      </c>
      <c r="F98" s="74">
        <v>1.2955111269999999</v>
      </c>
      <c r="G98" s="74">
        <v>0.86946254970000003</v>
      </c>
      <c r="H98" s="74">
        <v>0.61338853839999996</v>
      </c>
      <c r="I98" s="74">
        <v>1.2234112020000001</v>
      </c>
      <c r="J98" s="74">
        <v>1.149626732</v>
      </c>
      <c r="K98" s="44">
        <f t="shared" si="46"/>
        <v>0.93574286282655672</v>
      </c>
      <c r="L98" s="58"/>
      <c r="N98">
        <v>0.95</v>
      </c>
      <c r="O98">
        <v>1</v>
      </c>
      <c r="P98">
        <v>0.95</v>
      </c>
      <c r="Q98">
        <v>1</v>
      </c>
      <c r="R98">
        <v>0.95</v>
      </c>
      <c r="S98">
        <v>0.95</v>
      </c>
      <c r="T98">
        <v>1</v>
      </c>
      <c r="U98">
        <v>1</v>
      </c>
      <c r="W98" s="44">
        <f t="shared" si="48"/>
        <v>0.44330890173999998</v>
      </c>
      <c r="X98" s="44">
        <f t="shared" si="49"/>
        <v>0.69970315689999996</v>
      </c>
      <c r="Y98" s="44">
        <f t="shared" si="50"/>
        <v>0.61477000115000002</v>
      </c>
      <c r="Z98" s="44">
        <f t="shared" si="51"/>
        <v>1.2955111269999999</v>
      </c>
      <c r="AA98" s="44">
        <f t="shared" si="52"/>
        <v>0.82598942221500005</v>
      </c>
      <c r="AB98" s="44">
        <f t="shared" si="53"/>
        <v>0.58271911147999989</v>
      </c>
      <c r="AC98" s="44">
        <f t="shared" si="54"/>
        <v>1.2234112020000001</v>
      </c>
      <c r="AD98" s="44">
        <f t="shared" si="55"/>
        <v>1.149626732</v>
      </c>
      <c r="AF98" s="61" t="str">
        <f t="shared" si="56"/>
        <v>O55</v>
      </c>
      <c r="AG98" s="44">
        <f t="shared" si="57"/>
        <v>6.0727246813698628E-2</v>
      </c>
      <c r="AH98" s="44">
        <f t="shared" si="58"/>
        <v>9.5849747520547937E-2</v>
      </c>
      <c r="AI98" s="44">
        <f t="shared" si="59"/>
        <v>8.4215068650684941E-2</v>
      </c>
      <c r="AJ98" s="44">
        <f t="shared" si="60"/>
        <v>0.17746727767123288</v>
      </c>
      <c r="AK98" s="44">
        <f t="shared" si="61"/>
        <v>0.16227690023870336</v>
      </c>
      <c r="AL98" s="44">
        <f t="shared" si="62"/>
        <v>0.11448312602750489</v>
      </c>
      <c r="AM98" s="44">
        <f t="shared" si="63"/>
        <v>0.30433114477611944</v>
      </c>
      <c r="AN98" s="44">
        <f t="shared" si="64"/>
        <v>0.28597679900497514</v>
      </c>
      <c r="AO98" s="44">
        <f t="shared" si="47"/>
        <v>0.15569338459680729</v>
      </c>
    </row>
    <row r="99" spans="1:41" ht="15.6" x14ac:dyDescent="0.25">
      <c r="A99" s="57"/>
      <c r="B99" s="62" t="s">
        <v>236</v>
      </c>
      <c r="C99" s="74">
        <v>0.4766691327</v>
      </c>
      <c r="D99" s="74">
        <v>0.38612169029999999</v>
      </c>
      <c r="E99" s="74">
        <v>0.32876807450000001</v>
      </c>
      <c r="F99" s="74">
        <v>0.27668380739999998</v>
      </c>
      <c r="G99" s="74">
        <v>1.3026959899999999</v>
      </c>
      <c r="H99" s="74">
        <v>1.2583732599999999</v>
      </c>
      <c r="I99" s="74">
        <v>0.49797689909999998</v>
      </c>
      <c r="J99" s="74">
        <v>0.41234263780000002</v>
      </c>
      <c r="K99" s="44">
        <f t="shared" si="46"/>
        <v>0.55044380393506986</v>
      </c>
      <c r="L99" s="44"/>
      <c r="N99">
        <v>0.95</v>
      </c>
      <c r="O99">
        <v>1</v>
      </c>
      <c r="P99">
        <v>0.95</v>
      </c>
      <c r="Q99">
        <v>1</v>
      </c>
      <c r="R99">
        <v>0.95</v>
      </c>
      <c r="S99">
        <v>0.95</v>
      </c>
      <c r="T99">
        <v>1</v>
      </c>
      <c r="U99">
        <v>1</v>
      </c>
      <c r="W99" s="44">
        <f t="shared" si="48"/>
        <v>0.45283567606499997</v>
      </c>
      <c r="X99" s="44">
        <f t="shared" si="49"/>
        <v>0.38612169029999999</v>
      </c>
      <c r="Y99" s="44">
        <f t="shared" si="50"/>
        <v>0.31232967077500001</v>
      </c>
      <c r="Z99" s="44">
        <f t="shared" si="51"/>
        <v>0.27668380739999998</v>
      </c>
      <c r="AA99" s="44">
        <f t="shared" si="52"/>
        <v>1.2375611904999999</v>
      </c>
      <c r="AB99" s="44">
        <f t="shared" si="53"/>
        <v>1.1954545969999999</v>
      </c>
      <c r="AC99" s="44">
        <f t="shared" si="54"/>
        <v>0.49797689909999998</v>
      </c>
      <c r="AD99" s="44">
        <f t="shared" si="55"/>
        <v>0.41234263780000002</v>
      </c>
      <c r="AF99" s="61" t="str">
        <f t="shared" si="56"/>
        <v>O56</v>
      </c>
      <c r="AG99" s="44">
        <f t="shared" si="57"/>
        <v>6.2032284392465747E-2</v>
      </c>
      <c r="AH99" s="44">
        <f t="shared" si="58"/>
        <v>5.2893382232876714E-2</v>
      </c>
      <c r="AI99" s="44">
        <f t="shared" si="59"/>
        <v>4.2784886407534251E-2</v>
      </c>
      <c r="AJ99" s="44">
        <f t="shared" si="60"/>
        <v>3.7901891424657531E-2</v>
      </c>
      <c r="AK99" s="44">
        <f t="shared" si="61"/>
        <v>0.24313579381139488</v>
      </c>
      <c r="AL99" s="44">
        <f t="shared" si="62"/>
        <v>0.23486337858546166</v>
      </c>
      <c r="AM99" s="44">
        <f t="shared" si="63"/>
        <v>0.12387485052238807</v>
      </c>
      <c r="AN99" s="44">
        <f t="shared" si="64"/>
        <v>0.10257279547263683</v>
      </c>
      <c r="AO99" s="44">
        <f t="shared" si="47"/>
        <v>9.5920640290482501E-2</v>
      </c>
    </row>
    <row r="100" spans="1:41" ht="15.6" x14ac:dyDescent="0.25">
      <c r="A100" s="60"/>
      <c r="B100" s="62" t="s">
        <v>237</v>
      </c>
      <c r="C100" s="74">
        <v>1.054700017</v>
      </c>
      <c r="D100" s="74">
        <v>0.83106982709999999</v>
      </c>
      <c r="E100" s="74">
        <v>0.3964559138</v>
      </c>
      <c r="F100" s="74">
        <v>1.5736020799999999</v>
      </c>
      <c r="G100" s="74">
        <v>1.1602697369999999</v>
      </c>
      <c r="H100" s="74">
        <v>0.70448005199999997</v>
      </c>
      <c r="I100" s="74">
        <v>1.228528976</v>
      </c>
      <c r="J100" s="74">
        <v>1.1396331790000001</v>
      </c>
      <c r="K100" s="44">
        <f t="shared" si="46"/>
        <v>1.07572660923075</v>
      </c>
      <c r="L100" s="58"/>
      <c r="N100">
        <v>0.95</v>
      </c>
      <c r="O100">
        <v>1</v>
      </c>
      <c r="P100">
        <v>0.95</v>
      </c>
      <c r="Q100">
        <v>1</v>
      </c>
      <c r="R100">
        <v>0.95</v>
      </c>
      <c r="S100">
        <v>0.95</v>
      </c>
      <c r="T100">
        <v>1</v>
      </c>
      <c r="U100">
        <v>1</v>
      </c>
      <c r="W100" s="44">
        <f t="shared" si="48"/>
        <v>1.00196501615</v>
      </c>
      <c r="X100" s="44">
        <f t="shared" si="49"/>
        <v>0.83106982709999999</v>
      </c>
      <c r="Y100" s="44">
        <f t="shared" si="50"/>
        <v>0.37663311811</v>
      </c>
      <c r="Z100" s="44">
        <f t="shared" si="51"/>
        <v>1.5736020799999999</v>
      </c>
      <c r="AA100" s="44">
        <f t="shared" si="52"/>
        <v>1.1022562501499999</v>
      </c>
      <c r="AB100" s="44">
        <f t="shared" si="53"/>
        <v>0.66925604939999994</v>
      </c>
      <c r="AC100" s="44">
        <f t="shared" si="54"/>
        <v>1.228528976</v>
      </c>
      <c r="AD100" s="44">
        <f t="shared" si="55"/>
        <v>1.1396331790000001</v>
      </c>
      <c r="AF100" s="61" t="str">
        <f t="shared" si="56"/>
        <v>O57</v>
      </c>
      <c r="AG100" s="44">
        <f t="shared" si="57"/>
        <v>0.13725548166438356</v>
      </c>
      <c r="AH100" s="44">
        <f t="shared" si="58"/>
        <v>0.11384518179452055</v>
      </c>
      <c r="AI100" s="44">
        <f t="shared" si="59"/>
        <v>5.1593577823287669E-2</v>
      </c>
      <c r="AJ100" s="44">
        <f t="shared" si="60"/>
        <v>0.21556192876712327</v>
      </c>
      <c r="AK100" s="44">
        <f t="shared" si="61"/>
        <v>0.21655329079567778</v>
      </c>
      <c r="AL100" s="44">
        <f t="shared" si="62"/>
        <v>0.13148448907662083</v>
      </c>
      <c r="AM100" s="44">
        <f t="shared" si="63"/>
        <v>0.30560422288557215</v>
      </c>
      <c r="AN100" s="44">
        <f t="shared" si="64"/>
        <v>0.2834908405472637</v>
      </c>
      <c r="AO100" s="44">
        <f t="shared" si="47"/>
        <v>0.17716501610717808</v>
      </c>
    </row>
    <row r="101" spans="1:41" ht="15.6" x14ac:dyDescent="0.25">
      <c r="A101" s="57"/>
      <c r="B101" s="62" t="s">
        <v>238</v>
      </c>
      <c r="C101" s="74">
        <v>0.30311572549999999</v>
      </c>
      <c r="D101" s="74">
        <v>0.58979147669999998</v>
      </c>
      <c r="E101" s="74">
        <v>1.421111703</v>
      </c>
      <c r="F101" s="74">
        <v>1.80039835</v>
      </c>
      <c r="G101" s="74">
        <v>1.2740916010000001</v>
      </c>
      <c r="H101" s="74">
        <v>0.86215120550000002</v>
      </c>
      <c r="I101" s="74">
        <v>1.2395123240000001</v>
      </c>
      <c r="J101" s="74">
        <v>1.0898478030000001</v>
      </c>
      <c r="K101" s="44">
        <f t="shared" si="46"/>
        <v>1.2650933223916141</v>
      </c>
      <c r="L101" s="44"/>
      <c r="N101">
        <v>0.95</v>
      </c>
      <c r="O101">
        <v>1</v>
      </c>
      <c r="P101">
        <v>0.95</v>
      </c>
      <c r="Q101">
        <v>1</v>
      </c>
      <c r="R101">
        <v>0.95</v>
      </c>
      <c r="S101">
        <v>0.95</v>
      </c>
      <c r="T101">
        <v>1</v>
      </c>
      <c r="U101">
        <v>1</v>
      </c>
      <c r="W101" s="44">
        <f t="shared" si="48"/>
        <v>0.28795993922499996</v>
      </c>
      <c r="X101" s="44">
        <f t="shared" si="49"/>
        <v>0.58979147669999998</v>
      </c>
      <c r="Y101" s="44">
        <f t="shared" si="50"/>
        <v>1.3500561178499999</v>
      </c>
      <c r="Z101" s="44">
        <f t="shared" si="51"/>
        <v>1.80039835</v>
      </c>
      <c r="AA101" s="44">
        <f t="shared" si="52"/>
        <v>1.2103870209500001</v>
      </c>
      <c r="AB101" s="44">
        <f t="shared" si="53"/>
        <v>0.81904364522499995</v>
      </c>
      <c r="AC101" s="44">
        <f t="shared" si="54"/>
        <v>1.2395123240000001</v>
      </c>
      <c r="AD101" s="44">
        <f t="shared" si="55"/>
        <v>1.0898478030000001</v>
      </c>
      <c r="AF101" s="61" t="str">
        <f t="shared" si="56"/>
        <v>O58</v>
      </c>
      <c r="AG101" s="44">
        <f t="shared" si="57"/>
        <v>3.9446567017123284E-2</v>
      </c>
      <c r="AH101" s="44">
        <f t="shared" si="58"/>
        <v>8.0793352972602733E-2</v>
      </c>
      <c r="AI101" s="44">
        <f t="shared" si="59"/>
        <v>0.18493919422602739</v>
      </c>
      <c r="AJ101" s="44">
        <f t="shared" si="60"/>
        <v>0.24662991095890413</v>
      </c>
      <c r="AK101" s="44">
        <f t="shared" si="61"/>
        <v>0.23779705716110022</v>
      </c>
      <c r="AL101" s="44">
        <f t="shared" si="62"/>
        <v>0.16091230750982319</v>
      </c>
      <c r="AM101" s="44">
        <f t="shared" si="63"/>
        <v>0.30833639900497517</v>
      </c>
      <c r="AN101" s="44">
        <f t="shared" si="64"/>
        <v>0.27110641865671647</v>
      </c>
      <c r="AO101" s="44">
        <f t="shared" si="47"/>
        <v>0.20326011900040292</v>
      </c>
    </row>
    <row r="102" spans="1:41" ht="15.6" x14ac:dyDescent="0.25">
      <c r="A102" s="60"/>
      <c r="B102" s="62" t="s">
        <v>239</v>
      </c>
      <c r="C102" s="74">
        <v>0.2153545171</v>
      </c>
      <c r="D102" s="74">
        <v>0.7341685295</v>
      </c>
      <c r="E102" s="74">
        <v>0.3209836781</v>
      </c>
      <c r="F102" s="74">
        <v>1.7217004300000001</v>
      </c>
      <c r="G102" s="74">
        <v>1.14926219</v>
      </c>
      <c r="H102" s="74">
        <v>1.0273745059999999</v>
      </c>
      <c r="I102" s="74">
        <v>1.217897177</v>
      </c>
      <c r="J102" s="74">
        <v>1.1954671139999999</v>
      </c>
      <c r="K102" s="44">
        <f t="shared" si="46"/>
        <v>1.053767321571919</v>
      </c>
      <c r="L102" s="58"/>
      <c r="N102">
        <v>0.95</v>
      </c>
      <c r="O102">
        <v>1</v>
      </c>
      <c r="P102">
        <v>0.95</v>
      </c>
      <c r="Q102">
        <v>1</v>
      </c>
      <c r="R102">
        <v>0.95</v>
      </c>
      <c r="S102">
        <v>0.95</v>
      </c>
      <c r="T102">
        <v>1</v>
      </c>
      <c r="U102">
        <v>1</v>
      </c>
      <c r="W102" s="44">
        <f t="shared" si="48"/>
        <v>0.20458679124499998</v>
      </c>
      <c r="X102" s="44">
        <f t="shared" si="49"/>
        <v>0.7341685295</v>
      </c>
      <c r="Y102" s="44">
        <f t="shared" si="50"/>
        <v>0.30493449419499996</v>
      </c>
      <c r="Z102" s="44">
        <f t="shared" si="51"/>
        <v>1.7217004300000001</v>
      </c>
      <c r="AA102" s="44">
        <f t="shared" si="52"/>
        <v>1.0917990805</v>
      </c>
      <c r="AB102" s="44">
        <f t="shared" si="53"/>
        <v>0.97600578069999988</v>
      </c>
      <c r="AC102" s="44">
        <f t="shared" si="54"/>
        <v>1.217897177</v>
      </c>
      <c r="AD102" s="44">
        <f t="shared" si="55"/>
        <v>1.1954671139999999</v>
      </c>
      <c r="AF102" s="61" t="str">
        <f t="shared" si="56"/>
        <v>O59</v>
      </c>
      <c r="AG102" s="44">
        <f t="shared" si="57"/>
        <v>2.802558784178082E-2</v>
      </c>
      <c r="AH102" s="44">
        <f t="shared" si="58"/>
        <v>0.10057103143835616</v>
      </c>
      <c r="AI102" s="44">
        <f t="shared" si="59"/>
        <v>4.1771848519863007E-2</v>
      </c>
      <c r="AJ102" s="44">
        <f t="shared" si="60"/>
        <v>0.23584937397260275</v>
      </c>
      <c r="AK102" s="44">
        <f t="shared" si="61"/>
        <v>0.21449883703339881</v>
      </c>
      <c r="AL102" s="44">
        <f t="shared" si="62"/>
        <v>0.19174966222003928</v>
      </c>
      <c r="AM102" s="44">
        <f t="shared" si="63"/>
        <v>0.30295949676616918</v>
      </c>
      <c r="AN102" s="44">
        <f t="shared" si="64"/>
        <v>0.29737987910447761</v>
      </c>
      <c r="AO102" s="44">
        <f t="shared" si="47"/>
        <v>0.17607132383648816</v>
      </c>
    </row>
    <row r="103" spans="1:41" ht="15.6" x14ac:dyDescent="0.25">
      <c r="A103" s="57"/>
      <c r="B103" s="62" t="s">
        <v>240</v>
      </c>
      <c r="C103" s="74">
        <v>0.19408172369999999</v>
      </c>
      <c r="D103" s="74">
        <v>0.33946588640000003</v>
      </c>
      <c r="E103" s="74">
        <v>1.1148239369999999</v>
      </c>
      <c r="F103" s="74">
        <v>1.453846931</v>
      </c>
      <c r="G103" s="74">
        <v>1.173054099</v>
      </c>
      <c r="H103" s="74">
        <v>1.2382236719999999</v>
      </c>
      <c r="I103" s="74">
        <v>0.3988529146</v>
      </c>
      <c r="J103" s="74">
        <v>0.41877722740000001</v>
      </c>
      <c r="K103" s="44">
        <f t="shared" si="46"/>
        <v>0.97344459961105467</v>
      </c>
      <c r="L103" s="44"/>
      <c r="N103">
        <v>0.95</v>
      </c>
      <c r="O103">
        <v>1</v>
      </c>
      <c r="P103">
        <v>0.95</v>
      </c>
      <c r="Q103">
        <v>1</v>
      </c>
      <c r="R103">
        <v>0.95</v>
      </c>
      <c r="S103">
        <v>0.95</v>
      </c>
      <c r="T103">
        <v>1</v>
      </c>
      <c r="U103">
        <v>1</v>
      </c>
      <c r="W103" s="44">
        <f t="shared" si="48"/>
        <v>0.18437763751499997</v>
      </c>
      <c r="X103" s="44">
        <f t="shared" si="49"/>
        <v>0.33946588640000003</v>
      </c>
      <c r="Y103" s="44">
        <f t="shared" si="50"/>
        <v>1.0590827401499998</v>
      </c>
      <c r="Z103" s="44">
        <f t="shared" si="51"/>
        <v>1.453846931</v>
      </c>
      <c r="AA103" s="44">
        <f t="shared" si="52"/>
        <v>1.1144013940499999</v>
      </c>
      <c r="AB103" s="44">
        <f t="shared" si="53"/>
        <v>1.1763124883999998</v>
      </c>
      <c r="AC103" s="44">
        <f t="shared" si="54"/>
        <v>0.3988529146</v>
      </c>
      <c r="AD103" s="44">
        <f t="shared" si="55"/>
        <v>0.41877722740000001</v>
      </c>
      <c r="AF103" s="61" t="str">
        <f t="shared" si="56"/>
        <v>O60</v>
      </c>
      <c r="AG103" s="44">
        <f t="shared" si="57"/>
        <v>2.5257210618493148E-2</v>
      </c>
      <c r="AH103" s="44">
        <f t="shared" si="58"/>
        <v>4.6502176219178085E-2</v>
      </c>
      <c r="AI103" s="44">
        <f t="shared" si="59"/>
        <v>0.1450798274178082</v>
      </c>
      <c r="AJ103" s="44">
        <f t="shared" si="60"/>
        <v>0.19915711383561643</v>
      </c>
      <c r="AK103" s="44">
        <f t="shared" si="61"/>
        <v>0.21893937014734774</v>
      </c>
      <c r="AL103" s="44">
        <f t="shared" si="62"/>
        <v>0.2311026499803536</v>
      </c>
      <c r="AM103" s="44">
        <f t="shared" si="63"/>
        <v>9.9217142935323396E-2</v>
      </c>
      <c r="AN103" s="44">
        <f t="shared" si="64"/>
        <v>0.10417343965174131</v>
      </c>
      <c r="AO103" s="44">
        <f t="shared" si="47"/>
        <v>0.15126402544936418</v>
      </c>
    </row>
    <row r="104" spans="1:41" ht="15.6" x14ac:dyDescent="0.25">
      <c r="A104" s="60"/>
      <c r="B104" s="62" t="s">
        <v>241</v>
      </c>
      <c r="C104" s="74">
        <v>0.91224694250000005</v>
      </c>
      <c r="D104" s="74">
        <v>0.56159979100000001</v>
      </c>
      <c r="E104" s="74">
        <v>1.2363260979999999</v>
      </c>
      <c r="F104" s="74">
        <v>2.1306943889999999</v>
      </c>
      <c r="G104" s="74">
        <v>0.12587514520000001</v>
      </c>
      <c r="H104" s="74">
        <v>0.49364742639999998</v>
      </c>
      <c r="I104" s="74">
        <v>1.9301623109999999</v>
      </c>
      <c r="J104" s="74">
        <v>1.9097222089999999</v>
      </c>
      <c r="K104" s="44">
        <f t="shared" si="46"/>
        <v>1.3002537067127069</v>
      </c>
      <c r="L104" s="58"/>
      <c r="N104">
        <v>0.95</v>
      </c>
      <c r="O104">
        <v>1</v>
      </c>
      <c r="P104">
        <v>0.95</v>
      </c>
      <c r="Q104">
        <v>1</v>
      </c>
      <c r="R104">
        <v>0.95</v>
      </c>
      <c r="S104">
        <v>0.95</v>
      </c>
      <c r="T104">
        <v>1</v>
      </c>
      <c r="U104">
        <v>1</v>
      </c>
      <c r="W104" s="44">
        <f t="shared" si="48"/>
        <v>0.86663459537499998</v>
      </c>
      <c r="X104" s="44">
        <f t="shared" si="49"/>
        <v>0.56159979100000001</v>
      </c>
      <c r="Y104" s="44">
        <f t="shared" si="50"/>
        <v>1.1745097930999999</v>
      </c>
      <c r="Z104" s="44">
        <f t="shared" si="51"/>
        <v>2.1306943889999999</v>
      </c>
      <c r="AA104" s="44">
        <f t="shared" si="52"/>
        <v>0.11958138794000001</v>
      </c>
      <c r="AB104" s="44">
        <f t="shared" si="53"/>
        <v>0.46896505507999997</v>
      </c>
      <c r="AC104" s="44">
        <f t="shared" si="54"/>
        <v>1.9301623109999999</v>
      </c>
      <c r="AD104" s="44">
        <f t="shared" si="55"/>
        <v>1.9097222089999999</v>
      </c>
      <c r="AF104" s="61" t="str">
        <f t="shared" si="56"/>
        <v>O61</v>
      </c>
      <c r="AG104" s="44">
        <f t="shared" si="57"/>
        <v>0.11871706785958905</v>
      </c>
      <c r="AH104" s="44">
        <f t="shared" si="58"/>
        <v>7.693147821917809E-2</v>
      </c>
      <c r="AI104" s="44">
        <f t="shared" si="59"/>
        <v>0.16089175247945206</v>
      </c>
      <c r="AJ104" s="44">
        <f t="shared" si="60"/>
        <v>0.29187594369863012</v>
      </c>
      <c r="AK104" s="44">
        <f t="shared" si="61"/>
        <v>2.3493396451866405E-2</v>
      </c>
      <c r="AL104" s="44">
        <f t="shared" si="62"/>
        <v>9.2134588424361494E-2</v>
      </c>
      <c r="AM104" s="44">
        <f t="shared" si="63"/>
        <v>0.48013987835820898</v>
      </c>
      <c r="AN104" s="44">
        <f t="shared" si="64"/>
        <v>0.47505527587064678</v>
      </c>
      <c r="AO104" s="44">
        <f t="shared" si="47"/>
        <v>0.21165603569330746</v>
      </c>
    </row>
    <row r="105" spans="1:41" ht="15.6" x14ac:dyDescent="0.25">
      <c r="A105" s="57"/>
      <c r="B105" s="62" t="s">
        <v>242</v>
      </c>
      <c r="C105" s="74">
        <v>1.243184209</v>
      </c>
      <c r="D105" s="74">
        <v>0.90054112669999997</v>
      </c>
      <c r="E105" s="74">
        <v>0.4415400028</v>
      </c>
      <c r="F105" s="74">
        <v>1.8628531690000001</v>
      </c>
      <c r="G105" s="74">
        <v>0.28087937829999998</v>
      </c>
      <c r="H105" s="74">
        <v>0.19890308379999999</v>
      </c>
      <c r="I105" s="74">
        <v>2.0180690289999998</v>
      </c>
      <c r="J105" s="74">
        <v>1.650528073</v>
      </c>
      <c r="K105" s="44">
        <f t="shared" si="46"/>
        <v>1.1301827653531131</v>
      </c>
      <c r="L105" s="44"/>
      <c r="N105">
        <v>0.95</v>
      </c>
      <c r="O105">
        <v>1</v>
      </c>
      <c r="P105">
        <v>0.95</v>
      </c>
      <c r="Q105">
        <v>1</v>
      </c>
      <c r="R105">
        <v>0.95</v>
      </c>
      <c r="S105">
        <v>0.95</v>
      </c>
      <c r="T105">
        <v>1</v>
      </c>
      <c r="U105">
        <v>1</v>
      </c>
      <c r="W105" s="44">
        <f t="shared" si="48"/>
        <v>1.1810249985500001</v>
      </c>
      <c r="X105" s="44">
        <f t="shared" si="49"/>
        <v>0.90054112669999997</v>
      </c>
      <c r="Y105" s="44">
        <f t="shared" si="50"/>
        <v>0.41946300265999997</v>
      </c>
      <c r="Z105" s="44">
        <f t="shared" si="51"/>
        <v>1.8628531690000001</v>
      </c>
      <c r="AA105" s="44">
        <f t="shared" si="52"/>
        <v>0.26683540938499994</v>
      </c>
      <c r="AB105" s="44">
        <f t="shared" si="53"/>
        <v>0.18895792960999999</v>
      </c>
      <c r="AC105" s="44">
        <f t="shared" si="54"/>
        <v>2.0180690289999998</v>
      </c>
      <c r="AD105" s="44">
        <f t="shared" si="55"/>
        <v>1.650528073</v>
      </c>
      <c r="AF105" s="61" t="str">
        <f t="shared" si="56"/>
        <v>O62</v>
      </c>
      <c r="AG105" s="44">
        <f t="shared" si="57"/>
        <v>0.16178424637671235</v>
      </c>
      <c r="AH105" s="44">
        <f t="shared" si="58"/>
        <v>0.1233617981780822</v>
      </c>
      <c r="AI105" s="44">
        <f t="shared" si="59"/>
        <v>5.7460685295890407E-2</v>
      </c>
      <c r="AJ105" s="44">
        <f t="shared" si="60"/>
        <v>0.2551853656164384</v>
      </c>
      <c r="AK105" s="44">
        <f t="shared" si="61"/>
        <v>5.2423459604125727E-2</v>
      </c>
      <c r="AL105" s="44">
        <f t="shared" si="62"/>
        <v>3.7123365345776031E-2</v>
      </c>
      <c r="AM105" s="44">
        <f t="shared" si="63"/>
        <v>0.50200722114427865</v>
      </c>
      <c r="AN105" s="44">
        <f t="shared" si="64"/>
        <v>0.41057912263681595</v>
      </c>
      <c r="AO105" s="44">
        <f t="shared" si="47"/>
        <v>0.18785349075163726</v>
      </c>
    </row>
    <row r="106" spans="1:41" ht="15.6" x14ac:dyDescent="0.25">
      <c r="A106" s="60"/>
      <c r="B106" s="62" t="s">
        <v>243</v>
      </c>
      <c r="C106" s="74">
        <v>1.4457679990000001</v>
      </c>
      <c r="D106" s="74">
        <v>1.1286158559999999</v>
      </c>
      <c r="E106" s="74">
        <v>1.268431664</v>
      </c>
      <c r="F106" s="74">
        <v>1.785019994</v>
      </c>
      <c r="G106" s="74">
        <v>0.28844147920000002</v>
      </c>
      <c r="H106" s="74">
        <v>0.92692214250000005</v>
      </c>
      <c r="I106" s="74">
        <v>1.6952338220000001</v>
      </c>
      <c r="J106" s="74">
        <v>1.495425582</v>
      </c>
      <c r="K106" s="44">
        <f t="shared" si="46"/>
        <v>1.305787889009784</v>
      </c>
      <c r="L106" s="58"/>
      <c r="N106">
        <v>0.95</v>
      </c>
      <c r="O106">
        <v>1</v>
      </c>
      <c r="P106">
        <v>0.95</v>
      </c>
      <c r="Q106">
        <v>1</v>
      </c>
      <c r="R106">
        <v>0.95</v>
      </c>
      <c r="S106">
        <v>0.95</v>
      </c>
      <c r="T106">
        <v>1</v>
      </c>
      <c r="U106">
        <v>1</v>
      </c>
      <c r="W106" s="44">
        <f t="shared" si="48"/>
        <v>1.3734795990499999</v>
      </c>
      <c r="X106" s="44">
        <f t="shared" si="49"/>
        <v>1.1286158559999999</v>
      </c>
      <c r="Y106" s="44">
        <f t="shared" si="50"/>
        <v>1.2050100807999999</v>
      </c>
      <c r="Z106" s="44">
        <f t="shared" si="51"/>
        <v>1.785019994</v>
      </c>
      <c r="AA106" s="44">
        <f t="shared" si="52"/>
        <v>0.27401940524000001</v>
      </c>
      <c r="AB106" s="44">
        <f t="shared" si="53"/>
        <v>0.88057603537499995</v>
      </c>
      <c r="AC106" s="44">
        <f t="shared" si="54"/>
        <v>1.6952338220000001</v>
      </c>
      <c r="AD106" s="44">
        <f t="shared" si="55"/>
        <v>1.495425582</v>
      </c>
      <c r="AF106" s="61" t="str">
        <f t="shared" si="56"/>
        <v>O63</v>
      </c>
      <c r="AG106" s="44">
        <f t="shared" si="57"/>
        <v>0.18814789028082191</v>
      </c>
      <c r="AH106" s="44">
        <f t="shared" si="58"/>
        <v>0.15460491178082192</v>
      </c>
      <c r="AI106" s="44">
        <f t="shared" si="59"/>
        <v>0.16506987408219179</v>
      </c>
      <c r="AJ106" s="44">
        <f t="shared" si="60"/>
        <v>0.24452328684931507</v>
      </c>
      <c r="AK106" s="44">
        <f t="shared" si="61"/>
        <v>5.3834853681728884E-2</v>
      </c>
      <c r="AL106" s="44">
        <f t="shared" si="62"/>
        <v>0.1730011857318271</v>
      </c>
      <c r="AM106" s="44">
        <f t="shared" si="63"/>
        <v>0.42169995572139307</v>
      </c>
      <c r="AN106" s="44">
        <f t="shared" si="64"/>
        <v>0.37199641343283585</v>
      </c>
      <c r="AO106" s="44">
        <f t="shared" si="47"/>
        <v>0.20913905179771</v>
      </c>
    </row>
    <row r="107" spans="1:41" ht="15.6" x14ac:dyDescent="0.25">
      <c r="A107" s="57"/>
      <c r="B107" s="62" t="s">
        <v>244</v>
      </c>
      <c r="C107" s="74">
        <v>1.342112422</v>
      </c>
      <c r="D107" s="74">
        <v>1.4385378360000001</v>
      </c>
      <c r="E107" s="74">
        <v>1.098882318</v>
      </c>
      <c r="F107" s="74">
        <v>1.4611866469999999</v>
      </c>
      <c r="G107" s="74">
        <v>1.5119135379999999</v>
      </c>
      <c r="H107" s="74">
        <v>0.91094928980000001</v>
      </c>
      <c r="I107" s="74">
        <v>1.6272255179999999</v>
      </c>
      <c r="J107" s="74">
        <v>1.4123207330000001</v>
      </c>
      <c r="K107" s="44">
        <f t="shared" si="46"/>
        <v>1.3648359260653116</v>
      </c>
      <c r="L107" s="44"/>
      <c r="N107">
        <v>0.95</v>
      </c>
      <c r="O107">
        <v>1</v>
      </c>
      <c r="P107">
        <v>0.95</v>
      </c>
      <c r="Q107">
        <v>1</v>
      </c>
      <c r="R107">
        <v>0.95</v>
      </c>
      <c r="S107">
        <v>0.95</v>
      </c>
      <c r="T107">
        <v>1</v>
      </c>
      <c r="U107">
        <v>1</v>
      </c>
      <c r="W107" s="44">
        <f t="shared" si="48"/>
        <v>1.2750068009</v>
      </c>
      <c r="X107" s="44">
        <f t="shared" si="49"/>
        <v>1.4385378360000001</v>
      </c>
      <c r="Y107" s="44">
        <f t="shared" si="50"/>
        <v>1.0439382020999999</v>
      </c>
      <c r="Z107" s="44">
        <f t="shared" si="51"/>
        <v>1.4611866469999999</v>
      </c>
      <c r="AA107" s="44">
        <f t="shared" si="52"/>
        <v>1.4363178610999998</v>
      </c>
      <c r="AB107" s="44">
        <f t="shared" si="53"/>
        <v>0.86540182530999998</v>
      </c>
      <c r="AC107" s="44">
        <f t="shared" si="54"/>
        <v>1.6272255179999999</v>
      </c>
      <c r="AD107" s="44">
        <f t="shared" si="55"/>
        <v>1.4123207330000001</v>
      </c>
      <c r="AF107" s="61" t="str">
        <f t="shared" si="56"/>
        <v>O64</v>
      </c>
      <c r="AG107" s="44">
        <f t="shared" si="57"/>
        <v>0.17465846587671233</v>
      </c>
      <c r="AH107" s="44">
        <f t="shared" si="58"/>
        <v>0.19705997753424659</v>
      </c>
      <c r="AI107" s="44">
        <f t="shared" si="59"/>
        <v>0.14300523316438354</v>
      </c>
      <c r="AJ107" s="44">
        <f t="shared" si="60"/>
        <v>0.20016255438356165</v>
      </c>
      <c r="AK107" s="44">
        <f t="shared" si="61"/>
        <v>0.28218425561886046</v>
      </c>
      <c r="AL107" s="44">
        <f t="shared" si="62"/>
        <v>0.17002000497249509</v>
      </c>
      <c r="AM107" s="44">
        <f t="shared" si="63"/>
        <v>0.40478246716417915</v>
      </c>
      <c r="AN107" s="44">
        <f t="shared" si="64"/>
        <v>0.35132356542288562</v>
      </c>
      <c r="AO107" s="44">
        <f t="shared" si="47"/>
        <v>0.22470920972269678</v>
      </c>
    </row>
    <row r="108" spans="1:41" ht="15.6" x14ac:dyDescent="0.25">
      <c r="A108" s="60"/>
      <c r="B108" s="62" t="s">
        <v>245</v>
      </c>
      <c r="C108" s="74">
        <v>1.543447375</v>
      </c>
      <c r="D108" s="74">
        <v>0.16472007329999999</v>
      </c>
      <c r="E108" s="74">
        <v>0.80654281380000004</v>
      </c>
      <c r="F108" s="74">
        <v>1.4994206430000001</v>
      </c>
      <c r="G108" s="74">
        <v>1.5478409529999999</v>
      </c>
      <c r="H108" s="74">
        <v>1.202434421</v>
      </c>
      <c r="I108" s="74">
        <v>1.4158074860000001</v>
      </c>
      <c r="J108" s="74">
        <v>1.3348622320000001</v>
      </c>
      <c r="K108" s="44">
        <f t="shared" si="46"/>
        <v>1.2185908004686152</v>
      </c>
      <c r="L108" s="58"/>
      <c r="N108">
        <v>0.95</v>
      </c>
      <c r="O108">
        <v>1</v>
      </c>
      <c r="P108">
        <v>0.95</v>
      </c>
      <c r="Q108">
        <v>1</v>
      </c>
      <c r="R108">
        <v>0.95</v>
      </c>
      <c r="S108">
        <v>0.95</v>
      </c>
      <c r="T108">
        <v>1</v>
      </c>
      <c r="U108">
        <v>1</v>
      </c>
      <c r="W108" s="44">
        <f t="shared" ref="W108:W132" si="65">C108*N108</f>
        <v>1.4662750062499998</v>
      </c>
      <c r="X108" s="44">
        <f t="shared" ref="X108:X132" si="66">D108*O108</f>
        <v>0.16472007329999999</v>
      </c>
      <c r="Y108" s="44">
        <f t="shared" ref="Y108:Y132" si="67">E108*P108</f>
        <v>0.76621567311000005</v>
      </c>
      <c r="Z108" s="44">
        <f t="shared" ref="Z108:Z132" si="68">F108*Q108</f>
        <v>1.4994206430000001</v>
      </c>
      <c r="AA108" s="44">
        <f t="shared" ref="AA108:AA132" si="69">G108*R108</f>
        <v>1.4704489053499998</v>
      </c>
      <c r="AB108" s="44">
        <f t="shared" ref="AB108:AB132" si="70">H108*S108</f>
        <v>1.14231269995</v>
      </c>
      <c r="AC108" s="44">
        <f t="shared" ref="AC108:AC132" si="71">I108*T108</f>
        <v>1.4158074860000001</v>
      </c>
      <c r="AD108" s="44">
        <f t="shared" ref="AD108:AD132" si="72">J108*U108</f>
        <v>1.3348622320000001</v>
      </c>
      <c r="AF108" s="61" t="str">
        <f t="shared" ref="AF108:AF132" si="73">B108</f>
        <v>O65</v>
      </c>
      <c r="AG108" s="44">
        <f t="shared" ref="AG108:AG134" si="74">W108/W$8</f>
        <v>0.20085958989726027</v>
      </c>
      <c r="AH108" s="44">
        <f t="shared" ref="AH108:AH134" si="75">X108/X$8</f>
        <v>2.2564393602739725E-2</v>
      </c>
      <c r="AI108" s="44">
        <f t="shared" ref="AI108:AI134" si="76">Y108/Y$8</f>
        <v>0.10496105111095891</v>
      </c>
      <c r="AJ108" s="44">
        <f t="shared" ref="AJ108:AJ134" si="77">Z108/Z$8</f>
        <v>0.20540008808219179</v>
      </c>
      <c r="AK108" s="44">
        <f t="shared" ref="AK108:AK134" si="78">AA108/AA$8</f>
        <v>0.28888976529469546</v>
      </c>
      <c r="AL108" s="44">
        <f t="shared" ref="AL108:AL134" si="79">AB108/AB$8</f>
        <v>0.22442292729862476</v>
      </c>
      <c r="AM108" s="44">
        <f t="shared" ref="AM108:AM134" si="80">AC108/AC$8</f>
        <v>0.35219091691542292</v>
      </c>
      <c r="AN108" s="44">
        <f t="shared" ref="AN108:AN134" si="81">AD108/AD$8</f>
        <v>0.33205528159203984</v>
      </c>
      <c r="AO108" s="44">
        <f t="shared" ref="AO108:AO134" si="82">SUMPRODUCT(AG108:AN108,$C$7:$J$7)/$K$7</f>
        <v>0.2036406269743245</v>
      </c>
    </row>
    <row r="109" spans="1:41" ht="15.6" x14ac:dyDescent="0.25">
      <c r="A109" s="57"/>
      <c r="B109" s="62" t="s">
        <v>246</v>
      </c>
      <c r="C109" s="74">
        <v>1.4063439369999999</v>
      </c>
      <c r="D109" s="74">
        <v>0.76315546040000004</v>
      </c>
      <c r="E109" s="74">
        <v>0.7205758095</v>
      </c>
      <c r="F109" s="74">
        <v>0.76120275260000003</v>
      </c>
      <c r="G109" s="74">
        <v>1.425671935</v>
      </c>
      <c r="H109" s="74">
        <v>1.473464012</v>
      </c>
      <c r="I109" s="74">
        <v>1.4654369350000001</v>
      </c>
      <c r="J109" s="74">
        <v>1.541748643</v>
      </c>
      <c r="K109" s="44">
        <f t="shared" si="46"/>
        <v>1.0598493839141043</v>
      </c>
      <c r="L109" s="44"/>
      <c r="N109">
        <v>0.95</v>
      </c>
      <c r="O109">
        <v>1</v>
      </c>
      <c r="P109">
        <v>0.95</v>
      </c>
      <c r="Q109">
        <v>1</v>
      </c>
      <c r="R109">
        <v>0.95</v>
      </c>
      <c r="S109">
        <v>0.95</v>
      </c>
      <c r="T109">
        <v>1</v>
      </c>
      <c r="U109">
        <v>1</v>
      </c>
      <c r="W109" s="44">
        <f t="shared" si="65"/>
        <v>1.3360267401499999</v>
      </c>
      <c r="X109" s="44">
        <f t="shared" si="66"/>
        <v>0.76315546040000004</v>
      </c>
      <c r="Y109" s="44">
        <f t="shared" si="67"/>
        <v>0.68454701902499993</v>
      </c>
      <c r="Z109" s="44">
        <f t="shared" si="68"/>
        <v>0.76120275260000003</v>
      </c>
      <c r="AA109" s="44">
        <f t="shared" si="69"/>
        <v>1.3543883382499999</v>
      </c>
      <c r="AB109" s="44">
        <f t="shared" si="70"/>
        <v>1.3997908113999999</v>
      </c>
      <c r="AC109" s="44">
        <f t="shared" si="71"/>
        <v>1.4654369350000001</v>
      </c>
      <c r="AD109" s="44">
        <f t="shared" si="72"/>
        <v>1.541748643</v>
      </c>
      <c r="AF109" s="61" t="str">
        <f t="shared" si="73"/>
        <v>O66</v>
      </c>
      <c r="AG109" s="44">
        <f t="shared" si="74"/>
        <v>0.18301736166438354</v>
      </c>
      <c r="AH109" s="44">
        <f t="shared" si="75"/>
        <v>0.10454184389041096</v>
      </c>
      <c r="AI109" s="44">
        <f t="shared" si="76"/>
        <v>9.3773564249999997E-2</v>
      </c>
      <c r="AJ109" s="44">
        <f t="shared" si="77"/>
        <v>0.10427434967123288</v>
      </c>
      <c r="AK109" s="44">
        <f t="shared" si="78"/>
        <v>0.26608808217092339</v>
      </c>
      <c r="AL109" s="44">
        <f t="shared" si="79"/>
        <v>0.27500801795677798</v>
      </c>
      <c r="AM109" s="44">
        <f t="shared" si="80"/>
        <v>0.36453655099502491</v>
      </c>
      <c r="AN109" s="44">
        <f t="shared" si="81"/>
        <v>0.38351956293532341</v>
      </c>
      <c r="AO109" s="44">
        <f t="shared" si="82"/>
        <v>0.18429401437837786</v>
      </c>
    </row>
    <row r="110" spans="1:41" ht="15.6" x14ac:dyDescent="0.25">
      <c r="A110" s="57"/>
      <c r="B110" s="62" t="s">
        <v>247</v>
      </c>
      <c r="C110" s="74">
        <v>3.0088555810000002</v>
      </c>
      <c r="D110" s="74">
        <v>2.5263843540000002</v>
      </c>
      <c r="E110" s="74">
        <v>3.3879821300000001</v>
      </c>
      <c r="F110" s="74">
        <v>1.018458724</v>
      </c>
      <c r="G110" s="74">
        <v>0.41603654620000002</v>
      </c>
      <c r="H110" s="74">
        <v>0.55404901500000003</v>
      </c>
      <c r="I110" s="74">
        <v>1.5885846610000001</v>
      </c>
      <c r="J110" s="74">
        <v>1.4431117769999999</v>
      </c>
      <c r="K110" s="44">
        <f t="shared" si="46"/>
        <v>1.7003768877931387</v>
      </c>
      <c r="L110" s="44"/>
      <c r="N110">
        <v>0.95</v>
      </c>
      <c r="O110">
        <v>1</v>
      </c>
      <c r="P110">
        <v>0.95</v>
      </c>
      <c r="Q110">
        <v>1</v>
      </c>
      <c r="R110">
        <v>0.95</v>
      </c>
      <c r="S110">
        <v>0.95</v>
      </c>
      <c r="T110">
        <v>1</v>
      </c>
      <c r="U110">
        <v>1</v>
      </c>
      <c r="W110" s="44">
        <f t="shared" si="65"/>
        <v>2.8584128019500001</v>
      </c>
      <c r="X110" s="44">
        <f t="shared" si="66"/>
        <v>2.5263843540000002</v>
      </c>
      <c r="Y110" s="44">
        <f t="shared" si="67"/>
        <v>3.2185830234999999</v>
      </c>
      <c r="Z110" s="44">
        <f t="shared" si="68"/>
        <v>1.018458724</v>
      </c>
      <c r="AA110" s="44">
        <f t="shared" si="69"/>
        <v>0.39523471889</v>
      </c>
      <c r="AB110" s="44">
        <f t="shared" si="70"/>
        <v>0.52634656425000004</v>
      </c>
      <c r="AC110" s="44">
        <f t="shared" si="71"/>
        <v>1.5885846610000001</v>
      </c>
      <c r="AD110" s="44">
        <f t="shared" si="72"/>
        <v>1.4431117769999999</v>
      </c>
      <c r="AF110" s="61" t="str">
        <f t="shared" si="73"/>
        <v>O67</v>
      </c>
      <c r="AG110" s="44">
        <f t="shared" si="74"/>
        <v>0.39156339752739727</v>
      </c>
      <c r="AH110" s="44">
        <f t="shared" si="75"/>
        <v>0.34608004849315072</v>
      </c>
      <c r="AI110" s="44">
        <f t="shared" si="76"/>
        <v>0.44090178404109587</v>
      </c>
      <c r="AJ110" s="44">
        <f t="shared" si="77"/>
        <v>0.13951489369863015</v>
      </c>
      <c r="AK110" s="44">
        <f t="shared" si="78"/>
        <v>7.7649257149312381E-2</v>
      </c>
      <c r="AL110" s="44">
        <f t="shared" si="79"/>
        <v>0.10340796940078587</v>
      </c>
      <c r="AM110" s="44">
        <f t="shared" si="80"/>
        <v>0.39517031368159211</v>
      </c>
      <c r="AN110" s="44">
        <f t="shared" si="81"/>
        <v>0.35898302910447766</v>
      </c>
      <c r="AO110" s="44">
        <f t="shared" si="82"/>
        <v>0.25804930097818823</v>
      </c>
    </row>
    <row r="111" spans="1:41" ht="15.6" x14ac:dyDescent="0.25">
      <c r="A111" s="57"/>
      <c r="B111" s="62" t="s">
        <v>248</v>
      </c>
      <c r="C111" s="74">
        <v>2.6377563479999999</v>
      </c>
      <c r="D111" s="74">
        <v>1.0397715569999999</v>
      </c>
      <c r="E111" s="74">
        <v>0.62640446419999996</v>
      </c>
      <c r="F111" s="74">
        <v>0.859295845</v>
      </c>
      <c r="G111" s="74">
        <v>1.387572646</v>
      </c>
      <c r="H111" s="74">
        <v>0.90041309599999997</v>
      </c>
      <c r="I111" s="74">
        <v>1.302075863</v>
      </c>
      <c r="J111" s="74">
        <v>1.111978173</v>
      </c>
      <c r="K111" s="44">
        <f t="shared" si="46"/>
        <v>1.1042463013723001</v>
      </c>
      <c r="L111" s="44"/>
      <c r="N111">
        <v>0.95</v>
      </c>
      <c r="O111">
        <v>1</v>
      </c>
      <c r="P111">
        <v>0.95</v>
      </c>
      <c r="Q111">
        <v>1</v>
      </c>
      <c r="R111">
        <v>0.95</v>
      </c>
      <c r="S111">
        <v>0.95</v>
      </c>
      <c r="T111">
        <v>1</v>
      </c>
      <c r="U111">
        <v>1</v>
      </c>
      <c r="W111" s="44">
        <f t="shared" si="65"/>
        <v>2.5058685305999999</v>
      </c>
      <c r="X111" s="44">
        <f t="shared" si="66"/>
        <v>1.0397715569999999</v>
      </c>
      <c r="Y111" s="44">
        <f t="shared" si="67"/>
        <v>0.5950842409899999</v>
      </c>
      <c r="Z111" s="44">
        <f t="shared" si="68"/>
        <v>0.859295845</v>
      </c>
      <c r="AA111" s="44">
        <f t="shared" si="69"/>
        <v>1.3181940136999999</v>
      </c>
      <c r="AB111" s="44">
        <f t="shared" si="70"/>
        <v>0.85539244119999991</v>
      </c>
      <c r="AC111" s="44">
        <f t="shared" si="71"/>
        <v>1.302075863</v>
      </c>
      <c r="AD111" s="44">
        <f t="shared" si="72"/>
        <v>1.111978173</v>
      </c>
      <c r="AF111" s="61" t="str">
        <f t="shared" si="73"/>
        <v>O68</v>
      </c>
      <c r="AG111" s="44">
        <f t="shared" si="74"/>
        <v>0.34326966172602741</v>
      </c>
      <c r="AH111" s="44">
        <f t="shared" si="75"/>
        <v>0.1424344598630137</v>
      </c>
      <c r="AI111" s="44">
        <f t="shared" si="76"/>
        <v>8.1518389176712322E-2</v>
      </c>
      <c r="AJ111" s="44">
        <f t="shared" si="77"/>
        <v>0.11771175958904109</v>
      </c>
      <c r="AK111" s="44">
        <f t="shared" si="78"/>
        <v>0.25897721290766207</v>
      </c>
      <c r="AL111" s="44">
        <f t="shared" si="79"/>
        <v>0.16805352479371316</v>
      </c>
      <c r="AM111" s="44">
        <f t="shared" si="80"/>
        <v>0.32389946840796024</v>
      </c>
      <c r="AN111" s="44">
        <f t="shared" si="81"/>
        <v>0.27661148582089556</v>
      </c>
      <c r="AO111" s="44">
        <f t="shared" si="82"/>
        <v>0.18261415611015805</v>
      </c>
    </row>
    <row r="112" spans="1:41" ht="15.6" x14ac:dyDescent="0.25">
      <c r="A112" s="57"/>
      <c r="B112" s="62" t="s">
        <v>249</v>
      </c>
      <c r="C112" s="74">
        <v>2.1961827280000001</v>
      </c>
      <c r="D112" s="74">
        <v>0.80090916160000003</v>
      </c>
      <c r="E112" s="74">
        <v>1.0592339040000001</v>
      </c>
      <c r="F112" s="74">
        <v>0.34127441050000001</v>
      </c>
      <c r="G112" s="74">
        <v>1.496010423</v>
      </c>
      <c r="H112" s="74">
        <v>1.1087435480000001</v>
      </c>
      <c r="I112" s="74">
        <v>1.2382587190000001</v>
      </c>
      <c r="J112" s="74">
        <v>1.2095699310000001</v>
      </c>
      <c r="K112" s="44">
        <f t="shared" si="46"/>
        <v>1.0074624690166456</v>
      </c>
      <c r="L112" s="44"/>
      <c r="N112">
        <v>0.95</v>
      </c>
      <c r="O112">
        <v>1</v>
      </c>
      <c r="P112">
        <v>0.95</v>
      </c>
      <c r="Q112">
        <v>1</v>
      </c>
      <c r="R112">
        <v>0.95</v>
      </c>
      <c r="S112">
        <v>0.95</v>
      </c>
      <c r="T112">
        <v>1</v>
      </c>
      <c r="U112">
        <v>1</v>
      </c>
      <c r="W112" s="44">
        <f t="shared" si="65"/>
        <v>2.0863735916000001</v>
      </c>
      <c r="X112" s="44">
        <f t="shared" si="66"/>
        <v>0.80090916160000003</v>
      </c>
      <c r="Y112" s="44">
        <f t="shared" si="67"/>
        <v>1.0062722088</v>
      </c>
      <c r="Z112" s="44">
        <f t="shared" si="68"/>
        <v>0.34127441050000001</v>
      </c>
      <c r="AA112" s="44">
        <f t="shared" si="69"/>
        <v>1.42120990185</v>
      </c>
      <c r="AB112" s="44">
        <f t="shared" si="70"/>
        <v>1.0533063706000001</v>
      </c>
      <c r="AC112" s="44">
        <f t="shared" si="71"/>
        <v>1.2382587190000001</v>
      </c>
      <c r="AD112" s="44">
        <f t="shared" si="72"/>
        <v>1.2095699310000001</v>
      </c>
      <c r="AF112" s="61" t="str">
        <f t="shared" si="73"/>
        <v>O69</v>
      </c>
      <c r="AG112" s="44">
        <f t="shared" si="74"/>
        <v>0.28580460158904114</v>
      </c>
      <c r="AH112" s="44">
        <f t="shared" si="75"/>
        <v>0.10971358378082192</v>
      </c>
      <c r="AI112" s="44">
        <f t="shared" si="76"/>
        <v>0.13784550805479454</v>
      </c>
      <c r="AJ112" s="44">
        <f t="shared" si="77"/>
        <v>4.6749919246575344E-2</v>
      </c>
      <c r="AK112" s="44">
        <f t="shared" si="78"/>
        <v>0.2792160907367387</v>
      </c>
      <c r="AL112" s="44">
        <f t="shared" si="79"/>
        <v>0.20693641858546172</v>
      </c>
      <c r="AM112" s="44">
        <f t="shared" si="80"/>
        <v>0.30802455696517417</v>
      </c>
      <c r="AN112" s="44">
        <f t="shared" si="81"/>
        <v>0.30088804253731349</v>
      </c>
      <c r="AO112" s="44">
        <f t="shared" si="82"/>
        <v>0.17077503090314414</v>
      </c>
    </row>
    <row r="113" spans="1:41" ht="15.6" x14ac:dyDescent="0.25">
      <c r="A113" s="57"/>
      <c r="B113" s="62" t="s">
        <v>250</v>
      </c>
      <c r="C113" s="74">
        <v>0.38095718620000002</v>
      </c>
      <c r="D113" s="74">
        <v>0.56806194779999997</v>
      </c>
      <c r="E113" s="74">
        <v>0.90245616439999998</v>
      </c>
      <c r="F113" s="74">
        <v>0.57005286219999995</v>
      </c>
      <c r="G113" s="74">
        <v>1.7579332590000001</v>
      </c>
      <c r="H113" s="74">
        <v>1.4670615199999999</v>
      </c>
      <c r="I113" s="74">
        <v>0.84344130750000001</v>
      </c>
      <c r="J113" s="74">
        <v>0.64091652629999996</v>
      </c>
      <c r="K113" s="44">
        <f t="shared" si="46"/>
        <v>0.86913486890432035</v>
      </c>
      <c r="L113" s="44"/>
      <c r="N113">
        <v>0.95</v>
      </c>
      <c r="O113">
        <v>1</v>
      </c>
      <c r="P113">
        <v>0.95</v>
      </c>
      <c r="Q113">
        <v>1</v>
      </c>
      <c r="R113">
        <v>0.95</v>
      </c>
      <c r="S113">
        <v>0.95</v>
      </c>
      <c r="T113">
        <v>1</v>
      </c>
      <c r="U113">
        <v>1</v>
      </c>
      <c r="W113" s="44">
        <f t="shared" si="65"/>
        <v>0.36190932688999999</v>
      </c>
      <c r="X113" s="44">
        <f t="shared" si="66"/>
        <v>0.56806194779999997</v>
      </c>
      <c r="Y113" s="44">
        <f t="shared" si="67"/>
        <v>0.85733335617999995</v>
      </c>
      <c r="Z113" s="44">
        <f t="shared" si="68"/>
        <v>0.57005286219999995</v>
      </c>
      <c r="AA113" s="44">
        <f t="shared" si="69"/>
        <v>1.6700365960500001</v>
      </c>
      <c r="AB113" s="44">
        <f t="shared" si="70"/>
        <v>1.3937084439999998</v>
      </c>
      <c r="AC113" s="44">
        <f t="shared" si="71"/>
        <v>0.84344130750000001</v>
      </c>
      <c r="AD113" s="44">
        <f t="shared" si="72"/>
        <v>0.64091652629999996</v>
      </c>
      <c r="AF113" s="61" t="str">
        <f t="shared" si="73"/>
        <v>O70</v>
      </c>
      <c r="AG113" s="44">
        <f t="shared" si="74"/>
        <v>4.9576620121917811E-2</v>
      </c>
      <c r="AH113" s="44">
        <f t="shared" si="75"/>
        <v>7.7816705178082188E-2</v>
      </c>
      <c r="AI113" s="44">
        <f t="shared" si="76"/>
        <v>0.11744292550410959</v>
      </c>
      <c r="AJ113" s="44">
        <f t="shared" si="77"/>
        <v>7.8089433178082188E-2</v>
      </c>
      <c r="AK113" s="44">
        <f t="shared" si="78"/>
        <v>0.32810149234774072</v>
      </c>
      <c r="AL113" s="44">
        <f t="shared" si="79"/>
        <v>0.27381305383104121</v>
      </c>
      <c r="AM113" s="44">
        <f t="shared" si="80"/>
        <v>0.2098112705223881</v>
      </c>
      <c r="AN113" s="44">
        <f t="shared" si="81"/>
        <v>0.1594319717164179</v>
      </c>
      <c r="AO113" s="44">
        <f t="shared" si="82"/>
        <v>0.14777194163140558</v>
      </c>
    </row>
    <row r="114" spans="1:41" ht="15.6" x14ac:dyDescent="0.25">
      <c r="A114" s="57"/>
      <c r="B114" s="62" t="s">
        <v>251</v>
      </c>
      <c r="C114" s="74">
        <v>3.5518016819999998</v>
      </c>
      <c r="D114" s="74">
        <v>2.983393908</v>
      </c>
      <c r="E114" s="74">
        <v>2.8485174180000001</v>
      </c>
      <c r="F114" s="74">
        <v>1.3143030410000001</v>
      </c>
      <c r="G114" s="74">
        <v>0.48951566219999998</v>
      </c>
      <c r="H114" s="74">
        <v>0.46376121040000001</v>
      </c>
      <c r="I114" s="74">
        <v>1.586885452</v>
      </c>
      <c r="J114" s="74">
        <v>1.375806093</v>
      </c>
      <c r="K114" s="44">
        <f t="shared" si="46"/>
        <v>1.7743119472952991</v>
      </c>
      <c r="L114" s="44"/>
      <c r="N114">
        <v>0.95</v>
      </c>
      <c r="O114">
        <v>1</v>
      </c>
      <c r="P114">
        <v>0.95</v>
      </c>
      <c r="Q114">
        <v>1</v>
      </c>
      <c r="R114">
        <v>0.95</v>
      </c>
      <c r="S114">
        <v>0.95</v>
      </c>
      <c r="T114">
        <v>1</v>
      </c>
      <c r="U114">
        <v>1</v>
      </c>
      <c r="W114" s="44">
        <f t="shared" si="65"/>
        <v>3.3742115978999996</v>
      </c>
      <c r="X114" s="44">
        <f t="shared" si="66"/>
        <v>2.983393908</v>
      </c>
      <c r="Y114" s="44">
        <f t="shared" si="67"/>
        <v>2.7060915471000002</v>
      </c>
      <c r="Z114" s="44">
        <f t="shared" si="68"/>
        <v>1.3143030410000001</v>
      </c>
      <c r="AA114" s="44">
        <f t="shared" si="69"/>
        <v>0.46503987908999994</v>
      </c>
      <c r="AB114" s="44">
        <f t="shared" si="70"/>
        <v>0.44057314988000001</v>
      </c>
      <c r="AC114" s="44">
        <f t="shared" si="71"/>
        <v>1.586885452</v>
      </c>
      <c r="AD114" s="44">
        <f t="shared" si="72"/>
        <v>1.375806093</v>
      </c>
      <c r="AF114" s="61" t="str">
        <f t="shared" si="73"/>
        <v>O71</v>
      </c>
      <c r="AG114" s="44">
        <f t="shared" si="74"/>
        <v>0.46222076683561641</v>
      </c>
      <c r="AH114" s="44">
        <f t="shared" si="75"/>
        <v>0.40868409698630137</v>
      </c>
      <c r="AI114" s="44">
        <f t="shared" si="76"/>
        <v>0.37069747220547949</v>
      </c>
      <c r="AJ114" s="44">
        <f t="shared" si="77"/>
        <v>0.18004151246575345</v>
      </c>
      <c r="AK114" s="44">
        <f t="shared" si="78"/>
        <v>9.1363434005893904E-2</v>
      </c>
      <c r="AL114" s="44">
        <f t="shared" si="79"/>
        <v>8.6556610978389001E-2</v>
      </c>
      <c r="AM114" s="44">
        <f t="shared" si="80"/>
        <v>0.39474762487562193</v>
      </c>
      <c r="AN114" s="44">
        <f t="shared" si="81"/>
        <v>0.34224032164179108</v>
      </c>
      <c r="AO114" s="44">
        <f t="shared" si="82"/>
        <v>0.26818020055547176</v>
      </c>
    </row>
    <row r="115" spans="1:41" ht="15.6" x14ac:dyDescent="0.25">
      <c r="A115" s="57"/>
      <c r="B115" s="62" t="s">
        <v>252</v>
      </c>
      <c r="C115" s="74">
        <v>1.1761302950000001</v>
      </c>
      <c r="D115" s="74">
        <v>1.162203074</v>
      </c>
      <c r="E115" s="74">
        <v>2.2151000500000002</v>
      </c>
      <c r="F115" s="74">
        <v>2.1115925309999999</v>
      </c>
      <c r="G115" s="74">
        <v>1.0223544840000001</v>
      </c>
      <c r="H115" s="74">
        <v>1.329371691</v>
      </c>
      <c r="I115" s="74">
        <v>1.4809427260000001</v>
      </c>
      <c r="J115" s="74">
        <v>1.361658335</v>
      </c>
      <c r="K115" s="44">
        <f t="shared" si="46"/>
        <v>1.6536061578373573</v>
      </c>
      <c r="L115" s="44"/>
      <c r="N115">
        <v>0.95</v>
      </c>
      <c r="O115">
        <v>1</v>
      </c>
      <c r="P115">
        <v>0.95</v>
      </c>
      <c r="Q115">
        <v>1</v>
      </c>
      <c r="R115">
        <v>0.95</v>
      </c>
      <c r="S115">
        <v>0.95</v>
      </c>
      <c r="T115">
        <v>1</v>
      </c>
      <c r="U115">
        <v>1</v>
      </c>
      <c r="W115" s="44">
        <f t="shared" si="65"/>
        <v>1.11732378025</v>
      </c>
      <c r="X115" s="44">
        <f t="shared" si="66"/>
        <v>1.162203074</v>
      </c>
      <c r="Y115" s="44">
        <f t="shared" si="67"/>
        <v>2.1043450475000003</v>
      </c>
      <c r="Z115" s="44">
        <f t="shared" si="68"/>
        <v>2.1115925309999999</v>
      </c>
      <c r="AA115" s="44">
        <f t="shared" si="69"/>
        <v>0.97123675980000002</v>
      </c>
      <c r="AB115" s="44">
        <f t="shared" si="70"/>
        <v>1.2629031064499998</v>
      </c>
      <c r="AC115" s="44">
        <f t="shared" si="71"/>
        <v>1.4809427260000001</v>
      </c>
      <c r="AD115" s="44">
        <f t="shared" si="72"/>
        <v>1.361658335</v>
      </c>
      <c r="AF115" s="61" t="str">
        <f t="shared" si="73"/>
        <v>O72</v>
      </c>
      <c r="AG115" s="44">
        <f t="shared" si="74"/>
        <v>0.15305805208904111</v>
      </c>
      <c r="AH115" s="44">
        <f t="shared" si="75"/>
        <v>0.1592059005479452</v>
      </c>
      <c r="AI115" s="44">
        <f t="shared" si="76"/>
        <v>0.28826644486301373</v>
      </c>
      <c r="AJ115" s="44">
        <f t="shared" si="77"/>
        <v>0.28925925082191778</v>
      </c>
      <c r="AK115" s="44">
        <f t="shared" si="78"/>
        <v>0.19081272294695481</v>
      </c>
      <c r="AL115" s="44">
        <f t="shared" si="79"/>
        <v>0.24811455922396852</v>
      </c>
      <c r="AM115" s="44">
        <f t="shared" si="80"/>
        <v>0.36839371293532347</v>
      </c>
      <c r="AN115" s="44">
        <f t="shared" si="81"/>
        <v>0.33872097885572144</v>
      </c>
      <c r="AO115" s="44">
        <f t="shared" si="82"/>
        <v>0.25925292906644054</v>
      </c>
    </row>
    <row r="116" spans="1:41" ht="15.6" x14ac:dyDescent="0.25">
      <c r="A116" s="57"/>
      <c r="B116" s="62" t="s">
        <v>253</v>
      </c>
      <c r="C116" s="74">
        <v>1.7623652219999999</v>
      </c>
      <c r="D116" s="74">
        <v>0.89434069400000005</v>
      </c>
      <c r="E116" s="74">
        <v>1.0133595470000001</v>
      </c>
      <c r="F116" s="74">
        <v>0.58489799499999995</v>
      </c>
      <c r="G116" s="74">
        <v>1.135776162</v>
      </c>
      <c r="H116" s="74">
        <v>1.420678973</v>
      </c>
      <c r="I116" s="74">
        <v>1.425793648</v>
      </c>
      <c r="J116" s="74">
        <v>1.261973977</v>
      </c>
      <c r="K116" s="44">
        <f t="shared" si="46"/>
        <v>1.0332520547789072</v>
      </c>
      <c r="L116" s="44"/>
      <c r="N116">
        <v>0.95</v>
      </c>
      <c r="O116">
        <v>1</v>
      </c>
      <c r="P116">
        <v>0.95</v>
      </c>
      <c r="Q116">
        <v>1</v>
      </c>
      <c r="R116">
        <v>0.95</v>
      </c>
      <c r="S116">
        <v>0.95</v>
      </c>
      <c r="T116">
        <v>1</v>
      </c>
      <c r="U116">
        <v>1</v>
      </c>
      <c r="W116" s="44">
        <f t="shared" si="65"/>
        <v>1.6742469608999999</v>
      </c>
      <c r="X116" s="44">
        <f t="shared" si="66"/>
        <v>0.89434069400000005</v>
      </c>
      <c r="Y116" s="44">
        <f t="shared" si="67"/>
        <v>0.96269156965000002</v>
      </c>
      <c r="Z116" s="44">
        <f t="shared" si="68"/>
        <v>0.58489799499999995</v>
      </c>
      <c r="AA116" s="44">
        <f t="shared" si="69"/>
        <v>1.0789873538999999</v>
      </c>
      <c r="AB116" s="44">
        <f t="shared" si="70"/>
        <v>1.34964502435</v>
      </c>
      <c r="AC116" s="44">
        <f t="shared" si="71"/>
        <v>1.425793648</v>
      </c>
      <c r="AD116" s="44">
        <f t="shared" si="72"/>
        <v>1.261973977</v>
      </c>
      <c r="AF116" s="61" t="str">
        <f t="shared" si="73"/>
        <v>O73</v>
      </c>
      <c r="AG116" s="44">
        <f t="shared" si="74"/>
        <v>0.22934889875342465</v>
      </c>
      <c r="AH116" s="44">
        <f t="shared" si="75"/>
        <v>0.12251242383561645</v>
      </c>
      <c r="AI116" s="44">
        <f t="shared" si="76"/>
        <v>0.13187555748630136</v>
      </c>
      <c r="AJ116" s="44">
        <f t="shared" si="77"/>
        <v>8.0123013013698619E-2</v>
      </c>
      <c r="AK116" s="44">
        <f t="shared" si="78"/>
        <v>0.2119817984086444</v>
      </c>
      <c r="AL116" s="44">
        <f t="shared" si="79"/>
        <v>0.26515619338899804</v>
      </c>
      <c r="AM116" s="44">
        <f t="shared" si="80"/>
        <v>0.35467503681592044</v>
      </c>
      <c r="AN116" s="44">
        <f t="shared" si="81"/>
        <v>0.31392387487562196</v>
      </c>
      <c r="AO116" s="44">
        <f t="shared" si="82"/>
        <v>0.17520470366563576</v>
      </c>
    </row>
    <row r="117" spans="1:41" ht="15.6" x14ac:dyDescent="0.25">
      <c r="A117" s="57"/>
      <c r="B117" s="62" t="s">
        <v>254</v>
      </c>
      <c r="C117" s="74">
        <v>1.6111783980000001</v>
      </c>
      <c r="D117" s="74">
        <v>0.58157902959999996</v>
      </c>
      <c r="E117" s="74">
        <v>1.3475643399999999</v>
      </c>
      <c r="F117" s="74">
        <v>0.58308905359999996</v>
      </c>
      <c r="G117" s="74">
        <v>0.78282260889999999</v>
      </c>
      <c r="H117" s="74">
        <v>1.2484048599999999</v>
      </c>
      <c r="I117" s="74">
        <v>1.0766342879999999</v>
      </c>
      <c r="J117" s="74">
        <v>0.98853182790000005</v>
      </c>
      <c r="K117" s="44">
        <f t="shared" si="46"/>
        <v>0.94087598990800514</v>
      </c>
      <c r="L117" s="44"/>
      <c r="N117">
        <v>0.95</v>
      </c>
      <c r="O117">
        <v>1</v>
      </c>
      <c r="P117">
        <v>0.95</v>
      </c>
      <c r="Q117">
        <v>1</v>
      </c>
      <c r="R117">
        <v>0.95</v>
      </c>
      <c r="S117">
        <v>0.95</v>
      </c>
      <c r="T117">
        <v>1</v>
      </c>
      <c r="U117">
        <v>1</v>
      </c>
      <c r="W117" s="44">
        <f t="shared" si="65"/>
        <v>1.5306194781</v>
      </c>
      <c r="X117" s="44">
        <f t="shared" si="66"/>
        <v>0.58157902959999996</v>
      </c>
      <c r="Y117" s="44">
        <f t="shared" si="67"/>
        <v>1.2801861229999998</v>
      </c>
      <c r="Z117" s="44">
        <f t="shared" si="68"/>
        <v>0.58308905359999996</v>
      </c>
      <c r="AA117" s="44">
        <f t="shared" si="69"/>
        <v>0.74368147845499999</v>
      </c>
      <c r="AB117" s="44">
        <f t="shared" si="70"/>
        <v>1.1859846169999999</v>
      </c>
      <c r="AC117" s="44">
        <f t="shared" si="71"/>
        <v>1.0766342879999999</v>
      </c>
      <c r="AD117" s="44">
        <f t="shared" si="72"/>
        <v>0.98853182790000005</v>
      </c>
      <c r="AF117" s="61" t="str">
        <f t="shared" si="73"/>
        <v>O74</v>
      </c>
      <c r="AG117" s="44">
        <f t="shared" si="74"/>
        <v>0.20967390110958906</v>
      </c>
      <c r="AH117" s="44">
        <f t="shared" si="75"/>
        <v>7.9668360219178086E-2</v>
      </c>
      <c r="AI117" s="44">
        <f t="shared" si="76"/>
        <v>0.17536796205479449</v>
      </c>
      <c r="AJ117" s="44">
        <f t="shared" si="77"/>
        <v>7.9875212821917799E-2</v>
      </c>
      <c r="AK117" s="44">
        <f t="shared" si="78"/>
        <v>0.14610638083595284</v>
      </c>
      <c r="AL117" s="44">
        <f t="shared" si="79"/>
        <v>0.23300287170923378</v>
      </c>
      <c r="AM117" s="44">
        <f t="shared" si="80"/>
        <v>0.26781947462686567</v>
      </c>
      <c r="AN117" s="44">
        <f t="shared" si="81"/>
        <v>0.24590343977611945</v>
      </c>
      <c r="AO117" s="44">
        <f t="shared" si="82"/>
        <v>0.15380992600251855</v>
      </c>
    </row>
    <row r="118" spans="1:41" ht="15.6" x14ac:dyDescent="0.25">
      <c r="A118" s="57"/>
      <c r="B118" s="62" t="s">
        <v>259</v>
      </c>
      <c r="C118" s="74">
        <v>0.2492948472</v>
      </c>
      <c r="D118" s="74">
        <v>1.0730760100000001</v>
      </c>
      <c r="E118" s="74">
        <v>1.363040209</v>
      </c>
      <c r="F118" s="74">
        <v>0.61080747840000005</v>
      </c>
      <c r="G118" s="74">
        <v>1.1282628770000001</v>
      </c>
      <c r="H118" s="74">
        <v>1.2190020079999999</v>
      </c>
      <c r="I118" s="74">
        <v>0.44865763190000002</v>
      </c>
      <c r="J118" s="74">
        <v>0.52078682180000002</v>
      </c>
      <c r="K118" s="44">
        <f t="shared" si="46"/>
        <v>0.85566144316925041</v>
      </c>
      <c r="L118" s="44"/>
      <c r="N118">
        <v>0.95</v>
      </c>
      <c r="O118">
        <v>1</v>
      </c>
      <c r="P118">
        <v>0.95</v>
      </c>
      <c r="Q118">
        <v>1</v>
      </c>
      <c r="R118">
        <v>0.95</v>
      </c>
      <c r="S118">
        <v>0.95</v>
      </c>
      <c r="T118">
        <v>1</v>
      </c>
      <c r="U118">
        <v>1</v>
      </c>
      <c r="W118" s="44">
        <f t="shared" si="65"/>
        <v>0.23683010484</v>
      </c>
      <c r="X118" s="44">
        <f t="shared" si="66"/>
        <v>1.0730760100000001</v>
      </c>
      <c r="Y118" s="44">
        <f t="shared" si="67"/>
        <v>1.29488819855</v>
      </c>
      <c r="Z118" s="44">
        <f t="shared" si="68"/>
        <v>0.61080747840000005</v>
      </c>
      <c r="AA118" s="44">
        <f t="shared" si="69"/>
        <v>1.0718497331500001</v>
      </c>
      <c r="AB118" s="44">
        <f t="shared" si="70"/>
        <v>1.1580519075999998</v>
      </c>
      <c r="AC118" s="44">
        <f t="shared" si="71"/>
        <v>0.44865763190000002</v>
      </c>
      <c r="AD118" s="44">
        <f t="shared" si="72"/>
        <v>0.52078682180000002</v>
      </c>
      <c r="AF118" s="61" t="str">
        <f t="shared" si="73"/>
        <v>O75</v>
      </c>
      <c r="AG118" s="44">
        <f t="shared" si="74"/>
        <v>3.2442480115068492E-2</v>
      </c>
      <c r="AH118" s="44">
        <f t="shared" si="75"/>
        <v>0.14699671369863015</v>
      </c>
      <c r="AI118" s="44">
        <f t="shared" si="76"/>
        <v>0.17738194500684931</v>
      </c>
      <c r="AJ118" s="44">
        <f t="shared" si="77"/>
        <v>8.3672257315068499E-2</v>
      </c>
      <c r="AK118" s="44">
        <f t="shared" si="78"/>
        <v>0.21057951535363459</v>
      </c>
      <c r="AL118" s="44">
        <f t="shared" si="79"/>
        <v>0.22751510954813356</v>
      </c>
      <c r="AM118" s="44">
        <f t="shared" si="80"/>
        <v>0.11160637609452738</v>
      </c>
      <c r="AN118" s="44">
        <f t="shared" si="81"/>
        <v>0.12954896064676619</v>
      </c>
      <c r="AO118" s="44">
        <f t="shared" si="82"/>
        <v>0.13571293866745723</v>
      </c>
    </row>
    <row r="119" spans="1:41" ht="15.6" x14ac:dyDescent="0.25">
      <c r="A119" s="57"/>
      <c r="B119" s="62" t="s">
        <v>260</v>
      </c>
      <c r="C119" s="74">
        <v>0.27905738349999998</v>
      </c>
      <c r="D119" s="74">
        <v>0.14020948110000001</v>
      </c>
      <c r="E119" s="74">
        <v>1.2472227810000001</v>
      </c>
      <c r="F119" s="74">
        <v>0.58479624990000001</v>
      </c>
      <c r="G119" s="74">
        <v>1.3776024579999999</v>
      </c>
      <c r="H119" s="74">
        <v>0.99848067760000003</v>
      </c>
      <c r="I119" s="74">
        <v>0.52683299780000004</v>
      </c>
      <c r="J119" s="74">
        <v>0.59985816479999998</v>
      </c>
      <c r="K119" s="44">
        <f t="shared" si="46"/>
        <v>0.77224573425946652</v>
      </c>
      <c r="L119" s="44"/>
      <c r="N119">
        <v>0.95</v>
      </c>
      <c r="O119">
        <v>1</v>
      </c>
      <c r="P119">
        <v>0.95</v>
      </c>
      <c r="Q119">
        <v>1</v>
      </c>
      <c r="R119">
        <v>0.95</v>
      </c>
      <c r="S119">
        <v>0.95</v>
      </c>
      <c r="T119">
        <v>1</v>
      </c>
      <c r="U119">
        <v>1</v>
      </c>
      <c r="W119" s="44">
        <f t="shared" si="65"/>
        <v>0.26510451432499998</v>
      </c>
      <c r="X119" s="44">
        <f t="shared" si="66"/>
        <v>0.14020948110000001</v>
      </c>
      <c r="Y119" s="44">
        <f t="shared" si="67"/>
        <v>1.18486164195</v>
      </c>
      <c r="Z119" s="44">
        <f t="shared" si="68"/>
        <v>0.58479624990000001</v>
      </c>
      <c r="AA119" s="44">
        <f t="shared" si="69"/>
        <v>1.3087223350999999</v>
      </c>
      <c r="AB119" s="44">
        <f t="shared" si="70"/>
        <v>0.94855664372000004</v>
      </c>
      <c r="AC119" s="44">
        <f t="shared" si="71"/>
        <v>0.52683299780000004</v>
      </c>
      <c r="AD119" s="44">
        <f t="shared" si="72"/>
        <v>0.59985816479999998</v>
      </c>
      <c r="AF119" s="61" t="str">
        <f t="shared" si="73"/>
        <v>O76</v>
      </c>
      <c r="AG119" s="44">
        <f t="shared" si="74"/>
        <v>3.6315686893835616E-2</v>
      </c>
      <c r="AH119" s="44">
        <f t="shared" si="75"/>
        <v>1.9206778232876715E-2</v>
      </c>
      <c r="AI119" s="44">
        <f t="shared" si="76"/>
        <v>0.16230981396575342</v>
      </c>
      <c r="AJ119" s="44">
        <f t="shared" si="77"/>
        <v>8.0109075328767126E-2</v>
      </c>
      <c r="AK119" s="44">
        <f t="shared" si="78"/>
        <v>0.25711637231827111</v>
      </c>
      <c r="AL119" s="44">
        <f t="shared" si="79"/>
        <v>0.18635690446365424</v>
      </c>
      <c r="AM119" s="44">
        <f t="shared" si="80"/>
        <v>0.13105298452736322</v>
      </c>
      <c r="AN119" s="44">
        <f t="shared" si="81"/>
        <v>0.1492184489552239</v>
      </c>
      <c r="AO119" s="44">
        <f t="shared" si="82"/>
        <v>0.12677114961036492</v>
      </c>
    </row>
    <row r="120" spans="1:41" ht="15.6" x14ac:dyDescent="0.25">
      <c r="A120" s="57"/>
      <c r="B120" s="62" t="s">
        <v>261</v>
      </c>
      <c r="C120" s="74">
        <v>1.5049755570000001</v>
      </c>
      <c r="D120" s="74">
        <v>1.296945333</v>
      </c>
      <c r="E120" s="74">
        <v>2.8362646100000002</v>
      </c>
      <c r="F120" s="74">
        <v>1.0322210789999999</v>
      </c>
      <c r="G120" s="74">
        <v>0.68253344299999996</v>
      </c>
      <c r="H120" s="74">
        <v>0.52995753290000003</v>
      </c>
      <c r="I120" s="74">
        <v>1.6712369920000001</v>
      </c>
      <c r="J120" s="74">
        <v>1.540463567</v>
      </c>
      <c r="K120" s="44">
        <f t="shared" si="46"/>
        <v>1.4206494889881829</v>
      </c>
      <c r="L120" s="44"/>
      <c r="N120">
        <v>0.95</v>
      </c>
      <c r="O120">
        <v>1</v>
      </c>
      <c r="P120">
        <v>0.95</v>
      </c>
      <c r="Q120">
        <v>1</v>
      </c>
      <c r="R120">
        <v>0.95</v>
      </c>
      <c r="S120">
        <v>0.95</v>
      </c>
      <c r="T120">
        <v>1</v>
      </c>
      <c r="U120">
        <v>1</v>
      </c>
      <c r="W120" s="44">
        <f t="shared" si="65"/>
        <v>1.4297267791499999</v>
      </c>
      <c r="X120" s="44">
        <f t="shared" si="66"/>
        <v>1.296945333</v>
      </c>
      <c r="Y120" s="44">
        <f t="shared" si="67"/>
        <v>2.6944513795000002</v>
      </c>
      <c r="Z120" s="44">
        <f t="shared" si="68"/>
        <v>1.0322210789999999</v>
      </c>
      <c r="AA120" s="44">
        <f t="shared" si="69"/>
        <v>0.64840677084999998</v>
      </c>
      <c r="AB120" s="44">
        <f t="shared" si="70"/>
        <v>0.503459656255</v>
      </c>
      <c r="AC120" s="44">
        <f t="shared" si="71"/>
        <v>1.6712369920000001</v>
      </c>
      <c r="AD120" s="44">
        <f t="shared" si="72"/>
        <v>1.540463567</v>
      </c>
      <c r="AF120" s="61" t="str">
        <f t="shared" si="73"/>
        <v>O77</v>
      </c>
      <c r="AG120" s="44">
        <f t="shared" si="74"/>
        <v>0.19585298344520546</v>
      </c>
      <c r="AH120" s="44">
        <f t="shared" si="75"/>
        <v>0.17766374424657536</v>
      </c>
      <c r="AI120" s="44">
        <f t="shared" si="76"/>
        <v>0.36910292869863021</v>
      </c>
      <c r="AJ120" s="44">
        <f t="shared" si="77"/>
        <v>0.14140014780821916</v>
      </c>
      <c r="AK120" s="44">
        <f t="shared" si="78"/>
        <v>0.12738836362475442</v>
      </c>
      <c r="AL120" s="44">
        <f t="shared" si="79"/>
        <v>9.8911523822200392E-2</v>
      </c>
      <c r="AM120" s="44">
        <f t="shared" si="80"/>
        <v>0.41573059502487569</v>
      </c>
      <c r="AN120" s="44">
        <f t="shared" si="81"/>
        <v>0.38319989228855728</v>
      </c>
      <c r="AO120" s="44">
        <f t="shared" si="82"/>
        <v>0.22453040595812751</v>
      </c>
    </row>
    <row r="121" spans="1:41" ht="15.6" x14ac:dyDescent="0.25">
      <c r="A121" s="57"/>
      <c r="B121" s="62" t="s">
        <v>262</v>
      </c>
      <c r="C121" s="74">
        <v>2.662926197</v>
      </c>
      <c r="D121" s="74">
        <v>2.8004064560000002</v>
      </c>
      <c r="E121" s="74">
        <v>3.5889670850000002</v>
      </c>
      <c r="F121" s="74">
        <v>2.2652683260000002</v>
      </c>
      <c r="G121" s="74">
        <v>0.27248027920000001</v>
      </c>
      <c r="H121" s="74">
        <v>0.19421331580000001</v>
      </c>
      <c r="I121" s="74">
        <v>2.1705429550000002</v>
      </c>
      <c r="J121" s="74">
        <v>1.997608423</v>
      </c>
      <c r="K121" s="44">
        <f t="shared" si="46"/>
        <v>2.1351732284861504</v>
      </c>
      <c r="L121" s="44"/>
      <c r="N121">
        <v>0.95</v>
      </c>
      <c r="O121">
        <v>1</v>
      </c>
      <c r="P121">
        <v>0.95</v>
      </c>
      <c r="Q121">
        <v>1</v>
      </c>
      <c r="R121">
        <v>0.95</v>
      </c>
      <c r="S121">
        <v>0.95</v>
      </c>
      <c r="T121">
        <v>1</v>
      </c>
      <c r="U121">
        <v>1</v>
      </c>
      <c r="W121" s="44">
        <f t="shared" si="65"/>
        <v>2.5297798871499997</v>
      </c>
      <c r="X121" s="44">
        <f t="shared" si="66"/>
        <v>2.8004064560000002</v>
      </c>
      <c r="Y121" s="44">
        <f t="shared" si="67"/>
        <v>3.4095187307499999</v>
      </c>
      <c r="Z121" s="44">
        <f t="shared" si="68"/>
        <v>2.2652683260000002</v>
      </c>
      <c r="AA121" s="44">
        <f t="shared" si="69"/>
        <v>0.25885626523999999</v>
      </c>
      <c r="AB121" s="44">
        <f t="shared" si="70"/>
        <v>0.18450265000999999</v>
      </c>
      <c r="AC121" s="44">
        <f t="shared" si="71"/>
        <v>2.1705429550000002</v>
      </c>
      <c r="AD121" s="44">
        <f t="shared" si="72"/>
        <v>1.997608423</v>
      </c>
      <c r="AF121" s="61" t="str">
        <f t="shared" si="73"/>
        <v>O78</v>
      </c>
      <c r="AG121" s="44">
        <f t="shared" si="74"/>
        <v>0.3465451900205479</v>
      </c>
      <c r="AH121" s="44">
        <f t="shared" si="75"/>
        <v>0.38361732273972604</v>
      </c>
      <c r="AI121" s="44">
        <f t="shared" si="76"/>
        <v>0.4670573603767123</v>
      </c>
      <c r="AJ121" s="44">
        <f t="shared" si="77"/>
        <v>0.3103107295890411</v>
      </c>
      <c r="AK121" s="44">
        <f t="shared" si="78"/>
        <v>5.0855847787819257E-2</v>
      </c>
      <c r="AL121" s="44">
        <f t="shared" si="79"/>
        <v>3.6248064834970527E-2</v>
      </c>
      <c r="AM121" s="44">
        <f t="shared" si="80"/>
        <v>0.53993605845771153</v>
      </c>
      <c r="AN121" s="44">
        <f t="shared" si="81"/>
        <v>0.49691751815920404</v>
      </c>
      <c r="AO121" s="44">
        <f t="shared" si="82"/>
        <v>0.32511109716165071</v>
      </c>
    </row>
    <row r="122" spans="1:41" ht="15.6" x14ac:dyDescent="0.25">
      <c r="A122" s="57"/>
      <c r="B122" s="62" t="s">
        <v>263</v>
      </c>
      <c r="C122" s="74">
        <v>1.7193216090000001</v>
      </c>
      <c r="D122" s="74">
        <v>2.7048206330000002</v>
      </c>
      <c r="E122" s="74">
        <v>3.0657320019999998</v>
      </c>
      <c r="F122" s="74">
        <v>2.51576376</v>
      </c>
      <c r="G122" s="74">
        <v>0.39555653930000001</v>
      </c>
      <c r="H122" s="74">
        <v>0.246396631</v>
      </c>
      <c r="I122" s="74">
        <v>1.979130507</v>
      </c>
      <c r="J122" s="74">
        <v>1.4323731660000001</v>
      </c>
      <c r="K122" s="44">
        <f t="shared" si="46"/>
        <v>1.9947601246128339</v>
      </c>
      <c r="L122" s="44"/>
      <c r="N122">
        <v>0.95</v>
      </c>
      <c r="O122">
        <v>1</v>
      </c>
      <c r="P122">
        <v>0.95</v>
      </c>
      <c r="Q122">
        <v>1</v>
      </c>
      <c r="R122">
        <v>0.95</v>
      </c>
      <c r="S122">
        <v>0.95</v>
      </c>
      <c r="T122">
        <v>1</v>
      </c>
      <c r="U122">
        <v>1</v>
      </c>
      <c r="W122" s="44">
        <f t="shared" si="65"/>
        <v>1.6333555285500001</v>
      </c>
      <c r="X122" s="44">
        <f t="shared" si="66"/>
        <v>2.7048206330000002</v>
      </c>
      <c r="Y122" s="44">
        <f t="shared" si="67"/>
        <v>2.9124454018999999</v>
      </c>
      <c r="Z122" s="44">
        <f t="shared" si="68"/>
        <v>2.51576376</v>
      </c>
      <c r="AA122" s="44">
        <f t="shared" si="69"/>
        <v>0.37577871233499999</v>
      </c>
      <c r="AB122" s="44">
        <f t="shared" si="70"/>
        <v>0.23407679944999998</v>
      </c>
      <c r="AC122" s="44">
        <f t="shared" si="71"/>
        <v>1.979130507</v>
      </c>
      <c r="AD122" s="44">
        <f t="shared" si="72"/>
        <v>1.4323731660000001</v>
      </c>
      <c r="AF122" s="61" t="str">
        <f t="shared" si="73"/>
        <v>O79</v>
      </c>
      <c r="AG122" s="44">
        <f t="shared" si="74"/>
        <v>0.22374733267808222</v>
      </c>
      <c r="AH122" s="44">
        <f t="shared" si="75"/>
        <v>0.3705233743835617</v>
      </c>
      <c r="AI122" s="44">
        <f t="shared" si="76"/>
        <v>0.39896512354794522</v>
      </c>
      <c r="AJ122" s="44">
        <f t="shared" si="77"/>
        <v>0.34462517260273973</v>
      </c>
      <c r="AK122" s="44">
        <f t="shared" si="78"/>
        <v>7.3826859004911594E-2</v>
      </c>
      <c r="AL122" s="44">
        <f t="shared" si="79"/>
        <v>4.5987583388998034E-2</v>
      </c>
      <c r="AM122" s="44">
        <f t="shared" si="80"/>
        <v>0.49232102164179109</v>
      </c>
      <c r="AN122" s="44">
        <f t="shared" si="81"/>
        <v>0.35631173283582096</v>
      </c>
      <c r="AO122" s="44">
        <f t="shared" si="82"/>
        <v>0.30162968707383619</v>
      </c>
    </row>
    <row r="123" spans="1:41" ht="15.6" x14ac:dyDescent="0.25">
      <c r="A123" s="57"/>
      <c r="B123" s="62" t="s">
        <v>264</v>
      </c>
      <c r="C123" s="74">
        <v>0.58068543669999995</v>
      </c>
      <c r="D123" s="74">
        <v>0.51983052490000003</v>
      </c>
      <c r="E123" s="74">
        <v>0.58061873909999995</v>
      </c>
      <c r="F123" s="74">
        <v>0.36617678399999998</v>
      </c>
      <c r="G123" s="74">
        <v>1.4861532449999999</v>
      </c>
      <c r="H123" s="74">
        <v>1.452840567</v>
      </c>
      <c r="I123" s="74">
        <v>0.78230577710000004</v>
      </c>
      <c r="J123" s="74">
        <v>0.60052746530000001</v>
      </c>
      <c r="K123" s="44">
        <f t="shared" si="46"/>
        <v>0.71728458740025414</v>
      </c>
      <c r="L123" s="44"/>
      <c r="N123">
        <v>0.95</v>
      </c>
      <c r="O123">
        <v>1</v>
      </c>
      <c r="P123">
        <v>0.95</v>
      </c>
      <c r="Q123">
        <v>1</v>
      </c>
      <c r="R123">
        <v>0.95</v>
      </c>
      <c r="S123">
        <v>0.95</v>
      </c>
      <c r="T123">
        <v>1</v>
      </c>
      <c r="U123">
        <v>1</v>
      </c>
      <c r="W123" s="44">
        <f t="shared" si="65"/>
        <v>0.55165116486499988</v>
      </c>
      <c r="X123" s="44">
        <f t="shared" si="66"/>
        <v>0.51983052490000003</v>
      </c>
      <c r="Y123" s="44">
        <f t="shared" si="67"/>
        <v>0.55158780214499992</v>
      </c>
      <c r="Z123" s="44">
        <f t="shared" si="68"/>
        <v>0.36617678399999998</v>
      </c>
      <c r="AA123" s="44">
        <f t="shared" si="69"/>
        <v>1.4118455827499998</v>
      </c>
      <c r="AB123" s="44">
        <f t="shared" si="70"/>
        <v>1.38019853865</v>
      </c>
      <c r="AC123" s="44">
        <f t="shared" si="71"/>
        <v>0.78230577710000004</v>
      </c>
      <c r="AD123" s="44">
        <f t="shared" si="72"/>
        <v>0.60052746530000001</v>
      </c>
      <c r="AF123" s="61" t="str">
        <f t="shared" si="73"/>
        <v>O80</v>
      </c>
      <c r="AG123" s="44">
        <f t="shared" si="74"/>
        <v>7.5568652721232865E-2</v>
      </c>
      <c r="AH123" s="44">
        <f t="shared" si="75"/>
        <v>7.1209660945205491E-2</v>
      </c>
      <c r="AI123" s="44">
        <f t="shared" si="76"/>
        <v>7.5559972896575331E-2</v>
      </c>
      <c r="AJ123" s="44">
        <f t="shared" si="77"/>
        <v>5.0161203287671229E-2</v>
      </c>
      <c r="AK123" s="44">
        <f t="shared" si="78"/>
        <v>0.27737634238703335</v>
      </c>
      <c r="AL123" s="44">
        <f t="shared" si="79"/>
        <v>0.27115884845776034</v>
      </c>
      <c r="AM123" s="44">
        <f t="shared" si="80"/>
        <v>0.19460342713930351</v>
      </c>
      <c r="AN123" s="44">
        <f t="shared" si="81"/>
        <v>0.14938494161691543</v>
      </c>
      <c r="AO123" s="44">
        <f t="shared" si="82"/>
        <v>0.12442897840449077</v>
      </c>
    </row>
    <row r="124" spans="1:41" ht="15.6" x14ac:dyDescent="0.25">
      <c r="A124" s="57"/>
      <c r="B124" s="62" t="s">
        <v>265</v>
      </c>
      <c r="C124" s="74">
        <v>1.261903167</v>
      </c>
      <c r="D124" s="74">
        <v>0.36299884319999998</v>
      </c>
      <c r="E124" s="74">
        <v>1.5334626440000001</v>
      </c>
      <c r="F124" s="74">
        <v>0.48931443689999998</v>
      </c>
      <c r="G124" s="74">
        <v>1.53725183</v>
      </c>
      <c r="H124" s="74">
        <v>1.6176114079999999</v>
      </c>
      <c r="I124" s="74">
        <v>0.37624660129999998</v>
      </c>
      <c r="J124" s="74">
        <v>0.53373646740000003</v>
      </c>
      <c r="K124" s="44">
        <f t="shared" si="46"/>
        <v>0.94095377680292269</v>
      </c>
      <c r="L124" s="44"/>
      <c r="N124">
        <v>0.95</v>
      </c>
      <c r="O124">
        <v>1</v>
      </c>
      <c r="P124">
        <v>0.95</v>
      </c>
      <c r="Q124">
        <v>1</v>
      </c>
      <c r="R124">
        <v>0.95</v>
      </c>
      <c r="S124">
        <v>0.95</v>
      </c>
      <c r="T124">
        <v>1</v>
      </c>
      <c r="U124">
        <v>1</v>
      </c>
      <c r="W124" s="44">
        <f t="shared" si="65"/>
        <v>1.1988080086499999</v>
      </c>
      <c r="X124" s="44">
        <f t="shared" si="66"/>
        <v>0.36299884319999998</v>
      </c>
      <c r="Y124" s="44">
        <f t="shared" si="67"/>
        <v>1.4567895118</v>
      </c>
      <c r="Z124" s="44">
        <f t="shared" si="68"/>
        <v>0.48931443689999998</v>
      </c>
      <c r="AA124" s="44">
        <f t="shared" si="69"/>
        <v>1.4603892384999999</v>
      </c>
      <c r="AB124" s="44">
        <f t="shared" si="70"/>
        <v>1.5367308376</v>
      </c>
      <c r="AC124" s="44">
        <f t="shared" si="71"/>
        <v>0.37624660129999998</v>
      </c>
      <c r="AD124" s="44">
        <f t="shared" si="72"/>
        <v>0.53373646740000003</v>
      </c>
      <c r="AF124" s="61" t="str">
        <f t="shared" si="73"/>
        <v>O81</v>
      </c>
      <c r="AG124" s="44">
        <f t="shared" si="74"/>
        <v>0.16422027515753423</v>
      </c>
      <c r="AH124" s="44">
        <f t="shared" si="75"/>
        <v>4.972586893150685E-2</v>
      </c>
      <c r="AI124" s="44">
        <f t="shared" si="76"/>
        <v>0.19956020709589042</v>
      </c>
      <c r="AJ124" s="44">
        <f t="shared" si="77"/>
        <v>6.7029374917808221E-2</v>
      </c>
      <c r="AK124" s="44">
        <f t="shared" si="78"/>
        <v>0.28691340638506874</v>
      </c>
      <c r="AL124" s="44">
        <f t="shared" si="79"/>
        <v>0.30191175591355601</v>
      </c>
      <c r="AM124" s="44">
        <f t="shared" si="80"/>
        <v>9.3593681915422888E-2</v>
      </c>
      <c r="AN124" s="44">
        <f t="shared" si="81"/>
        <v>0.13277026552238808</v>
      </c>
      <c r="AO124" s="44">
        <f t="shared" si="82"/>
        <v>0.15031970303694264</v>
      </c>
    </row>
    <row r="125" spans="1:41" ht="15.6" x14ac:dyDescent="0.25">
      <c r="A125" s="57"/>
      <c r="B125" s="62" t="s">
        <v>266</v>
      </c>
      <c r="C125" s="74">
        <v>0.40178665520000001</v>
      </c>
      <c r="D125" s="74">
        <v>0.90540307760000005</v>
      </c>
      <c r="E125" s="74">
        <v>1.3640335800000001</v>
      </c>
      <c r="F125" s="74">
        <v>0.362817049</v>
      </c>
      <c r="G125" s="74">
        <v>1.295873284</v>
      </c>
      <c r="H125" s="74">
        <v>1.522398353</v>
      </c>
      <c r="I125" s="74">
        <v>0.62728947400000001</v>
      </c>
      <c r="J125" s="74">
        <v>0.66804528240000005</v>
      </c>
      <c r="K125" s="44">
        <f t="shared" si="46"/>
        <v>0.84975072855451084</v>
      </c>
      <c r="L125" s="44"/>
      <c r="N125">
        <v>0.95</v>
      </c>
      <c r="O125">
        <v>1</v>
      </c>
      <c r="P125">
        <v>0.95</v>
      </c>
      <c r="Q125">
        <v>1</v>
      </c>
      <c r="R125">
        <v>0.95</v>
      </c>
      <c r="S125">
        <v>0.95</v>
      </c>
      <c r="T125">
        <v>1</v>
      </c>
      <c r="U125">
        <v>1</v>
      </c>
      <c r="W125" s="44">
        <f t="shared" si="65"/>
        <v>0.38169732243999999</v>
      </c>
      <c r="X125" s="44">
        <f t="shared" si="66"/>
        <v>0.90540307760000005</v>
      </c>
      <c r="Y125" s="44">
        <f t="shared" si="67"/>
        <v>1.2958319010000001</v>
      </c>
      <c r="Z125" s="44">
        <f t="shared" si="68"/>
        <v>0.362817049</v>
      </c>
      <c r="AA125" s="44">
        <f t="shared" si="69"/>
        <v>1.2310796198</v>
      </c>
      <c r="AB125" s="44">
        <f t="shared" si="70"/>
        <v>1.44627843535</v>
      </c>
      <c r="AC125" s="44">
        <f t="shared" si="71"/>
        <v>0.62728947400000001</v>
      </c>
      <c r="AD125" s="44">
        <f t="shared" si="72"/>
        <v>0.66804528240000005</v>
      </c>
      <c r="AF125" s="61" t="str">
        <f t="shared" si="73"/>
        <v>O82</v>
      </c>
      <c r="AG125" s="44">
        <f t="shared" si="74"/>
        <v>5.2287304443835614E-2</v>
      </c>
      <c r="AH125" s="44">
        <f t="shared" si="75"/>
        <v>0.12402781884931507</v>
      </c>
      <c r="AI125" s="44">
        <f t="shared" si="76"/>
        <v>0.17751121931506852</v>
      </c>
      <c r="AJ125" s="44">
        <f t="shared" si="77"/>
        <v>4.9700965616438358E-2</v>
      </c>
      <c r="AK125" s="44">
        <f t="shared" si="78"/>
        <v>0.2418624007465619</v>
      </c>
      <c r="AL125" s="44">
        <f t="shared" si="79"/>
        <v>0.2841411464341847</v>
      </c>
      <c r="AM125" s="44">
        <f t="shared" si="80"/>
        <v>0.15604215771144281</v>
      </c>
      <c r="AN125" s="44">
        <f t="shared" si="81"/>
        <v>0.16618041850746271</v>
      </c>
      <c r="AO125" s="44">
        <f t="shared" si="82"/>
        <v>0.13981625601697592</v>
      </c>
    </row>
    <row r="126" spans="1:41" ht="15.6" x14ac:dyDescent="0.25">
      <c r="A126" s="57"/>
      <c r="B126" s="62" t="s">
        <v>267</v>
      </c>
      <c r="C126" s="74">
        <v>0.54378283019999996</v>
      </c>
      <c r="D126" s="74">
        <v>0.46780708430000001</v>
      </c>
      <c r="E126" s="74">
        <v>0.63174813990000001</v>
      </c>
      <c r="F126" s="74">
        <v>0.44608458880000001</v>
      </c>
      <c r="G126" s="74">
        <v>0.780888319</v>
      </c>
      <c r="H126" s="74">
        <v>0.59077352289999996</v>
      </c>
      <c r="I126" s="74">
        <v>0.41988131400000001</v>
      </c>
      <c r="J126" s="74">
        <v>0.66685527560000002</v>
      </c>
      <c r="K126" s="44">
        <f t="shared" si="46"/>
        <v>0.56023451838132154</v>
      </c>
      <c r="L126" s="44"/>
      <c r="N126">
        <v>0.95</v>
      </c>
      <c r="O126">
        <v>1</v>
      </c>
      <c r="P126">
        <v>0.95</v>
      </c>
      <c r="Q126">
        <v>1</v>
      </c>
      <c r="R126">
        <v>0.95</v>
      </c>
      <c r="S126">
        <v>0.95</v>
      </c>
      <c r="T126">
        <v>1</v>
      </c>
      <c r="U126">
        <v>1</v>
      </c>
      <c r="W126" s="44">
        <f t="shared" si="65"/>
        <v>0.51659368868999989</v>
      </c>
      <c r="X126" s="44">
        <f t="shared" si="66"/>
        <v>0.46780708430000001</v>
      </c>
      <c r="Y126" s="44">
        <f t="shared" si="67"/>
        <v>0.60016073290499994</v>
      </c>
      <c r="Z126" s="44">
        <f t="shared" si="68"/>
        <v>0.44608458880000001</v>
      </c>
      <c r="AA126" s="44">
        <f t="shared" si="69"/>
        <v>0.74184390304999992</v>
      </c>
      <c r="AB126" s="44">
        <f t="shared" si="70"/>
        <v>0.56123484675499991</v>
      </c>
      <c r="AC126" s="44">
        <f t="shared" si="71"/>
        <v>0.41988131400000001</v>
      </c>
      <c r="AD126" s="44">
        <f t="shared" si="72"/>
        <v>0.66685527560000002</v>
      </c>
      <c r="AF126" s="61" t="str">
        <f t="shared" si="73"/>
        <v>O83</v>
      </c>
      <c r="AG126" s="44">
        <f t="shared" si="74"/>
        <v>7.0766258724657527E-2</v>
      </c>
      <c r="AH126" s="44">
        <f t="shared" si="75"/>
        <v>6.4083162232876717E-2</v>
      </c>
      <c r="AI126" s="44">
        <f t="shared" si="76"/>
        <v>8.221379902808218E-2</v>
      </c>
      <c r="AJ126" s="44">
        <f t="shared" si="77"/>
        <v>6.1107477917808226E-2</v>
      </c>
      <c r="AK126" s="44">
        <f t="shared" si="78"/>
        <v>0.14574536405697444</v>
      </c>
      <c r="AL126" s="44">
        <f t="shared" si="79"/>
        <v>0.11026224887131629</v>
      </c>
      <c r="AM126" s="44">
        <f t="shared" si="80"/>
        <v>0.1044480880597015</v>
      </c>
      <c r="AN126" s="44">
        <f t="shared" si="81"/>
        <v>0.16588439691542292</v>
      </c>
      <c r="AO126" s="44">
        <f t="shared" si="82"/>
        <v>9.2415212179868464E-2</v>
      </c>
    </row>
    <row r="127" spans="1:41" ht="15.6" x14ac:dyDescent="0.25">
      <c r="A127" s="60"/>
      <c r="B127" s="62" t="s">
        <v>268</v>
      </c>
      <c r="C127" s="74">
        <v>0.86264234780000004</v>
      </c>
      <c r="D127" s="74">
        <v>1.2100205420000001</v>
      </c>
      <c r="E127" s="74">
        <v>0.67410439249999998</v>
      </c>
      <c r="F127" s="74">
        <v>0.82129269839999997</v>
      </c>
      <c r="G127" s="74">
        <v>1.4513210059999999</v>
      </c>
      <c r="H127" s="74">
        <v>0.46230518819999999</v>
      </c>
      <c r="I127" s="74">
        <v>0.68521070480000001</v>
      </c>
      <c r="J127" s="74">
        <v>0.80240744350000004</v>
      </c>
      <c r="K127" s="44">
        <f t="shared" si="46"/>
        <v>0.88840168488246518</v>
      </c>
      <c r="N127">
        <v>0.95</v>
      </c>
      <c r="O127">
        <v>1</v>
      </c>
      <c r="P127">
        <v>0.95</v>
      </c>
      <c r="Q127">
        <v>1</v>
      </c>
      <c r="R127">
        <v>0.95</v>
      </c>
      <c r="S127">
        <v>0.95</v>
      </c>
      <c r="T127">
        <v>1</v>
      </c>
      <c r="U127">
        <v>1</v>
      </c>
      <c r="W127" s="44">
        <f t="shared" si="65"/>
        <v>0.81951023041000004</v>
      </c>
      <c r="X127" s="44">
        <f t="shared" si="66"/>
        <v>1.2100205420000001</v>
      </c>
      <c r="Y127" s="44">
        <f t="shared" si="67"/>
        <v>0.64039917287499992</v>
      </c>
      <c r="Z127" s="44">
        <f t="shared" si="68"/>
        <v>0.82129269839999997</v>
      </c>
      <c r="AA127" s="44">
        <f t="shared" si="69"/>
        <v>1.3787549556999998</v>
      </c>
      <c r="AB127" s="44">
        <f t="shared" si="70"/>
        <v>0.43918992878999996</v>
      </c>
      <c r="AC127" s="44">
        <f t="shared" si="71"/>
        <v>0.68521070480000001</v>
      </c>
      <c r="AD127" s="44">
        <f t="shared" si="72"/>
        <v>0.80240744350000004</v>
      </c>
      <c r="AF127" s="61" t="str">
        <f t="shared" si="73"/>
        <v>O84</v>
      </c>
      <c r="AG127" s="44">
        <f t="shared" si="74"/>
        <v>0.11226167539863015</v>
      </c>
      <c r="AH127" s="44">
        <f t="shared" si="75"/>
        <v>0.165756238630137</v>
      </c>
      <c r="AI127" s="44">
        <f t="shared" si="76"/>
        <v>8.7725914092465745E-2</v>
      </c>
      <c r="AJ127" s="44">
        <f t="shared" si="77"/>
        <v>0.11250584909589041</v>
      </c>
      <c r="AK127" s="44">
        <f t="shared" si="78"/>
        <v>0.27087523687622789</v>
      </c>
      <c r="AL127" s="44">
        <f t="shared" si="79"/>
        <v>8.6284858308447926E-2</v>
      </c>
      <c r="AM127" s="44">
        <f t="shared" si="80"/>
        <v>0.17045042407960201</v>
      </c>
      <c r="AN127" s="44">
        <f t="shared" si="81"/>
        <v>0.1996038416666667</v>
      </c>
      <c r="AO127" s="44">
        <f t="shared" si="82"/>
        <v>0.14488650837306874</v>
      </c>
    </row>
    <row r="128" spans="1:41" ht="15.6" x14ac:dyDescent="0.25">
      <c r="A128" s="57"/>
      <c r="B128" s="62" t="s">
        <v>269</v>
      </c>
      <c r="C128" s="74">
        <v>0.30774447319999998</v>
      </c>
      <c r="D128" s="74">
        <v>0.2875560224</v>
      </c>
      <c r="E128" s="74">
        <v>0.57465654610000005</v>
      </c>
      <c r="F128" s="74">
        <v>0.40524938700000002</v>
      </c>
      <c r="G128" s="74">
        <v>0.58547449110000005</v>
      </c>
      <c r="H128" s="74">
        <v>0.25176689029999999</v>
      </c>
      <c r="I128" s="74">
        <v>0.75307375190000003</v>
      </c>
      <c r="J128" s="74">
        <v>0.8861404061</v>
      </c>
      <c r="K128" s="44">
        <f t="shared" si="46"/>
        <v>0.49499856337013987</v>
      </c>
      <c r="L128" s="44"/>
      <c r="N128">
        <v>0.95</v>
      </c>
      <c r="O128">
        <v>1</v>
      </c>
      <c r="P128">
        <v>0.95</v>
      </c>
      <c r="Q128">
        <v>1</v>
      </c>
      <c r="R128">
        <v>0.95</v>
      </c>
      <c r="S128">
        <v>0.95</v>
      </c>
      <c r="T128">
        <v>1</v>
      </c>
      <c r="U128">
        <v>1</v>
      </c>
      <c r="W128" s="44">
        <f t="shared" si="65"/>
        <v>0.29235724953999997</v>
      </c>
      <c r="X128" s="44">
        <f t="shared" si="66"/>
        <v>0.2875560224</v>
      </c>
      <c r="Y128" s="44">
        <f t="shared" si="67"/>
        <v>0.54592371879500001</v>
      </c>
      <c r="Z128" s="44">
        <f t="shared" si="68"/>
        <v>0.40524938700000002</v>
      </c>
      <c r="AA128" s="44">
        <f t="shared" si="69"/>
        <v>0.55620076654500006</v>
      </c>
      <c r="AB128" s="44">
        <f t="shared" si="70"/>
        <v>0.23917854578499997</v>
      </c>
      <c r="AC128" s="44">
        <f t="shared" si="71"/>
        <v>0.75307375190000003</v>
      </c>
      <c r="AD128" s="44">
        <f t="shared" si="72"/>
        <v>0.8861404061</v>
      </c>
      <c r="AF128" s="61" t="str">
        <f t="shared" si="73"/>
        <v>O85</v>
      </c>
      <c r="AG128" s="44">
        <f t="shared" si="74"/>
        <v>4.0048938293150683E-2</v>
      </c>
      <c r="AH128" s="44">
        <f t="shared" si="75"/>
        <v>3.939123594520548E-2</v>
      </c>
      <c r="AI128" s="44">
        <f t="shared" si="76"/>
        <v>7.4784071067808225E-2</v>
      </c>
      <c r="AJ128" s="44">
        <f t="shared" si="77"/>
        <v>5.5513614657534252E-2</v>
      </c>
      <c r="AK128" s="44">
        <f t="shared" si="78"/>
        <v>0.10927323507760316</v>
      </c>
      <c r="AL128" s="44">
        <f t="shared" si="79"/>
        <v>4.6989891116895874E-2</v>
      </c>
      <c r="AM128" s="44">
        <f t="shared" si="80"/>
        <v>0.18733177907960202</v>
      </c>
      <c r="AN128" s="44">
        <f t="shared" si="81"/>
        <v>0.22043293684079604</v>
      </c>
      <c r="AO128" s="44">
        <f t="shared" si="82"/>
        <v>8.5942769141687289E-2</v>
      </c>
    </row>
    <row r="129" spans="1:42" ht="15.6" x14ac:dyDescent="0.25">
      <c r="A129" s="57"/>
      <c r="B129" s="62" t="s">
        <v>270</v>
      </c>
      <c r="C129" s="74">
        <v>2.037943125</v>
      </c>
      <c r="D129" s="74">
        <v>1.976453185</v>
      </c>
      <c r="E129" s="74">
        <v>2.4943926329999999</v>
      </c>
      <c r="F129" s="74">
        <v>2.788207769</v>
      </c>
      <c r="G129" s="74">
        <v>0.53078067299999998</v>
      </c>
      <c r="H129" s="74">
        <v>0.68569833039999994</v>
      </c>
      <c r="I129" s="74">
        <v>1.662038922</v>
      </c>
      <c r="J129" s="74">
        <v>1.479730129</v>
      </c>
      <c r="K129" s="44">
        <f t="shared" si="46"/>
        <v>1.9525995505961884</v>
      </c>
      <c r="L129" s="44"/>
      <c r="N129">
        <v>0.95</v>
      </c>
      <c r="O129">
        <v>1</v>
      </c>
      <c r="P129">
        <v>0.95</v>
      </c>
      <c r="Q129">
        <v>1</v>
      </c>
      <c r="R129">
        <v>0.95</v>
      </c>
      <c r="S129">
        <v>0.95</v>
      </c>
      <c r="T129">
        <v>1</v>
      </c>
      <c r="U129">
        <v>1</v>
      </c>
      <c r="W129" s="44">
        <f t="shared" si="65"/>
        <v>1.9360459687499998</v>
      </c>
      <c r="X129" s="44">
        <f t="shared" si="66"/>
        <v>1.976453185</v>
      </c>
      <c r="Y129" s="44">
        <f t="shared" si="67"/>
        <v>2.3696730013499998</v>
      </c>
      <c r="Z129" s="44">
        <f t="shared" si="68"/>
        <v>2.788207769</v>
      </c>
      <c r="AA129" s="44">
        <f t="shared" si="69"/>
        <v>0.50424163934999999</v>
      </c>
      <c r="AB129" s="44">
        <f t="shared" si="70"/>
        <v>0.65141341387999996</v>
      </c>
      <c r="AC129" s="44">
        <f t="shared" si="71"/>
        <v>1.662038922</v>
      </c>
      <c r="AD129" s="44">
        <f t="shared" si="72"/>
        <v>1.479730129</v>
      </c>
      <c r="AF129" s="61" t="str">
        <f t="shared" si="73"/>
        <v>O86</v>
      </c>
      <c r="AG129" s="44">
        <f t="shared" si="74"/>
        <v>0.26521177654109584</v>
      </c>
      <c r="AH129" s="44">
        <f t="shared" si="75"/>
        <v>0.27074701164383563</v>
      </c>
      <c r="AI129" s="44">
        <f t="shared" si="76"/>
        <v>0.3246127399109589</v>
      </c>
      <c r="AJ129" s="44">
        <f t="shared" si="77"/>
        <v>0.38194626972602741</v>
      </c>
      <c r="AK129" s="44">
        <f t="shared" si="78"/>
        <v>9.906515507858546E-2</v>
      </c>
      <c r="AL129" s="44">
        <f t="shared" si="79"/>
        <v>0.12797905970137524</v>
      </c>
      <c r="AM129" s="44">
        <f t="shared" si="80"/>
        <v>0.41344251791044784</v>
      </c>
      <c r="AN129" s="44">
        <f t="shared" si="81"/>
        <v>0.36809207189054732</v>
      </c>
      <c r="AO129" s="44">
        <f t="shared" si="82"/>
        <v>0.29640200287130208</v>
      </c>
    </row>
    <row r="130" spans="1:42" ht="15.6" x14ac:dyDescent="0.25">
      <c r="A130" s="57"/>
      <c r="B130" s="62" t="s">
        <v>271</v>
      </c>
      <c r="C130" s="74">
        <v>0.5101951361</v>
      </c>
      <c r="D130" s="74">
        <v>1.355436444</v>
      </c>
      <c r="E130" s="74">
        <v>2.697327375</v>
      </c>
      <c r="F130" s="74">
        <v>2.134721994</v>
      </c>
      <c r="G130" s="74">
        <v>0.28671252730000002</v>
      </c>
      <c r="H130" s="74">
        <v>0.1822422594</v>
      </c>
      <c r="I130" s="74">
        <v>0.25147241349999999</v>
      </c>
      <c r="J130" s="74">
        <v>0.30819344520000003</v>
      </c>
      <c r="K130" s="44">
        <f t="shared" si="46"/>
        <v>1.3562032876472683</v>
      </c>
      <c r="L130" s="44"/>
      <c r="N130">
        <v>0.95</v>
      </c>
      <c r="O130">
        <v>1</v>
      </c>
      <c r="P130">
        <v>0.95</v>
      </c>
      <c r="Q130">
        <v>1</v>
      </c>
      <c r="R130">
        <v>0.95</v>
      </c>
      <c r="S130">
        <v>0.95</v>
      </c>
      <c r="T130">
        <v>1</v>
      </c>
      <c r="U130">
        <v>1</v>
      </c>
      <c r="W130" s="44">
        <f t="shared" si="65"/>
        <v>0.484685379295</v>
      </c>
      <c r="X130" s="44">
        <f t="shared" si="66"/>
        <v>1.355436444</v>
      </c>
      <c r="Y130" s="44">
        <f t="shared" si="67"/>
        <v>2.56246100625</v>
      </c>
      <c r="Z130" s="44">
        <f t="shared" si="68"/>
        <v>2.134721994</v>
      </c>
      <c r="AA130" s="44">
        <f t="shared" si="69"/>
        <v>0.272376900935</v>
      </c>
      <c r="AB130" s="44">
        <f t="shared" si="70"/>
        <v>0.17313014642999999</v>
      </c>
      <c r="AC130" s="44">
        <f t="shared" si="71"/>
        <v>0.25147241349999999</v>
      </c>
      <c r="AD130" s="44">
        <f t="shared" si="72"/>
        <v>0.30819344520000003</v>
      </c>
      <c r="AF130" s="61" t="str">
        <f t="shared" si="73"/>
        <v>O87</v>
      </c>
      <c r="AG130" s="44">
        <f t="shared" si="74"/>
        <v>6.6395257437671232E-2</v>
      </c>
      <c r="AH130" s="44">
        <f t="shared" si="75"/>
        <v>0.18567622520547944</v>
      </c>
      <c r="AI130" s="44">
        <f t="shared" si="76"/>
        <v>0.35102205565068495</v>
      </c>
      <c r="AJ130" s="44">
        <f t="shared" si="77"/>
        <v>0.29242767041095891</v>
      </c>
      <c r="AK130" s="44">
        <f t="shared" si="78"/>
        <v>5.3512161283889983E-2</v>
      </c>
      <c r="AL130" s="44">
        <f t="shared" si="79"/>
        <v>3.4013781223968566E-2</v>
      </c>
      <c r="AM130" s="44">
        <f t="shared" si="80"/>
        <v>6.2555326741293535E-2</v>
      </c>
      <c r="AN130" s="44">
        <f t="shared" si="81"/>
        <v>7.6665036119402993E-2</v>
      </c>
      <c r="AO130" s="44">
        <f t="shared" si="82"/>
        <v>0.18963794809309165</v>
      </c>
    </row>
    <row r="131" spans="1:42" ht="15.6" x14ac:dyDescent="0.25">
      <c r="A131" s="57"/>
      <c r="B131" s="62" t="s">
        <v>272</v>
      </c>
      <c r="C131" s="74">
        <v>2.625613451</v>
      </c>
      <c r="D131" s="74">
        <v>2.6697680949999998</v>
      </c>
      <c r="E131" s="74">
        <v>1.4769135710000001</v>
      </c>
      <c r="F131" s="74">
        <v>2.1085004810000001</v>
      </c>
      <c r="G131" s="74">
        <v>1.166523695</v>
      </c>
      <c r="H131" s="74">
        <v>0.35562726859999999</v>
      </c>
      <c r="I131" s="74">
        <v>0.3959638774</v>
      </c>
      <c r="J131" s="74">
        <v>0.30609968300000001</v>
      </c>
      <c r="K131" s="44">
        <f t="shared" si="46"/>
        <v>1.5694883366869128</v>
      </c>
      <c r="L131" s="44"/>
      <c r="N131">
        <v>0.95</v>
      </c>
      <c r="O131">
        <v>1</v>
      </c>
      <c r="P131">
        <v>0.95</v>
      </c>
      <c r="Q131">
        <v>1</v>
      </c>
      <c r="R131">
        <v>0.95</v>
      </c>
      <c r="S131">
        <v>0.95</v>
      </c>
      <c r="T131">
        <v>1</v>
      </c>
      <c r="U131">
        <v>1</v>
      </c>
      <c r="W131" s="44">
        <f t="shared" si="65"/>
        <v>2.49433277845</v>
      </c>
      <c r="X131" s="44">
        <f t="shared" si="66"/>
        <v>2.6697680949999998</v>
      </c>
      <c r="Y131" s="44">
        <f t="shared" si="67"/>
        <v>1.40306789245</v>
      </c>
      <c r="Z131" s="44">
        <f t="shared" si="68"/>
        <v>2.1085004810000001</v>
      </c>
      <c r="AA131" s="44">
        <f t="shared" si="69"/>
        <v>1.1081975102499999</v>
      </c>
      <c r="AB131" s="44">
        <f t="shared" si="70"/>
        <v>0.33784590516999996</v>
      </c>
      <c r="AC131" s="44">
        <f t="shared" si="71"/>
        <v>0.3959638774</v>
      </c>
      <c r="AD131" s="44">
        <f t="shared" si="72"/>
        <v>0.30609968300000001</v>
      </c>
      <c r="AF131" s="61" t="str">
        <f t="shared" si="73"/>
        <v>O88</v>
      </c>
      <c r="AG131" s="44">
        <f t="shared" si="74"/>
        <v>0.34168942170547945</v>
      </c>
      <c r="AH131" s="44">
        <f t="shared" si="75"/>
        <v>0.36572165684931507</v>
      </c>
      <c r="AI131" s="44">
        <f t="shared" si="76"/>
        <v>0.19220108115753426</v>
      </c>
      <c r="AJ131" s="44">
        <f t="shared" si="77"/>
        <v>0.28883568232876716</v>
      </c>
      <c r="AK131" s="44">
        <f t="shared" si="78"/>
        <v>0.21772053246561884</v>
      </c>
      <c r="AL131" s="44">
        <f t="shared" si="79"/>
        <v>6.6374441094302544E-2</v>
      </c>
      <c r="AM131" s="44">
        <f t="shared" si="80"/>
        <v>9.8498476965174137E-2</v>
      </c>
      <c r="AN131" s="44">
        <f t="shared" si="81"/>
        <v>7.6144199751243785E-2</v>
      </c>
      <c r="AO131" s="44">
        <f t="shared" si="82"/>
        <v>0.22721514405267543</v>
      </c>
    </row>
    <row r="132" spans="1:42" ht="15.6" x14ac:dyDescent="0.25">
      <c r="A132" s="57"/>
      <c r="B132" s="62" t="s">
        <v>273</v>
      </c>
      <c r="C132" s="74">
        <v>2.9077432160000001</v>
      </c>
      <c r="D132" s="74">
        <v>2.9143702980000001</v>
      </c>
      <c r="E132" s="74">
        <v>2.320722103</v>
      </c>
      <c r="F132" s="74">
        <v>2.2685787679999998</v>
      </c>
      <c r="G132" s="74">
        <v>1.3815350529999999</v>
      </c>
      <c r="H132" s="74">
        <v>1.5221396679999999</v>
      </c>
      <c r="I132" s="74">
        <v>0.50169748069999998</v>
      </c>
      <c r="J132" s="74">
        <v>0.16778813300000001</v>
      </c>
      <c r="K132" s="44">
        <f t="shared" si="46"/>
        <v>1.9176929262787803</v>
      </c>
      <c r="L132" s="58">
        <f>AVERAGE(K9:K132)</f>
        <v>1.3910938249694789</v>
      </c>
      <c r="N132">
        <v>0.95</v>
      </c>
      <c r="O132">
        <v>1</v>
      </c>
      <c r="P132">
        <v>0.95</v>
      </c>
      <c r="Q132">
        <v>1</v>
      </c>
      <c r="R132">
        <v>0.95</v>
      </c>
      <c r="S132">
        <v>0.95</v>
      </c>
      <c r="T132">
        <v>1</v>
      </c>
      <c r="U132">
        <v>1</v>
      </c>
      <c r="W132" s="44">
        <f t="shared" si="65"/>
        <v>2.7623560552000002</v>
      </c>
      <c r="X132" s="44">
        <f t="shared" si="66"/>
        <v>2.9143702980000001</v>
      </c>
      <c r="Y132" s="44">
        <f t="shared" si="67"/>
        <v>2.20468599785</v>
      </c>
      <c r="Z132" s="44">
        <f t="shared" si="68"/>
        <v>2.2685787679999998</v>
      </c>
      <c r="AA132" s="44">
        <f t="shared" si="69"/>
        <v>1.3124583003499999</v>
      </c>
      <c r="AB132" s="44">
        <f t="shared" si="70"/>
        <v>1.4460326845999998</v>
      </c>
      <c r="AC132" s="44">
        <f t="shared" si="71"/>
        <v>0.50169748069999998</v>
      </c>
      <c r="AD132" s="44">
        <f t="shared" si="72"/>
        <v>0.16778813300000001</v>
      </c>
      <c r="AF132" s="61" t="str">
        <f t="shared" si="73"/>
        <v>O89</v>
      </c>
      <c r="AG132" s="44">
        <f t="shared" si="74"/>
        <v>0.37840493906849321</v>
      </c>
      <c r="AH132" s="44">
        <f t="shared" si="75"/>
        <v>0.39922880794520549</v>
      </c>
      <c r="AI132" s="44">
        <f t="shared" si="76"/>
        <v>0.30201178052739724</v>
      </c>
      <c r="AJ132" s="44">
        <f t="shared" si="77"/>
        <v>0.31076421479452054</v>
      </c>
      <c r="AK132" s="44">
        <f t="shared" si="78"/>
        <v>0.25785035370333986</v>
      </c>
      <c r="AL132" s="44">
        <f t="shared" si="79"/>
        <v>0.28409286534381134</v>
      </c>
      <c r="AM132" s="44">
        <f t="shared" si="80"/>
        <v>0.12480036833333334</v>
      </c>
      <c r="AN132" s="44">
        <f t="shared" si="81"/>
        <v>4.1738341542288566E-2</v>
      </c>
      <c r="AO132" s="44">
        <f t="shared" si="82"/>
        <v>0.27891510089144966</v>
      </c>
      <c r="AP132" s="76">
        <f>AVERAGE(AO9:AO132)</f>
        <v>0.21485547318806139</v>
      </c>
    </row>
    <row r="133" spans="1:42" ht="15.6" x14ac:dyDescent="0.25">
      <c r="A133" s="57"/>
      <c r="B133" s="62"/>
      <c r="C133" s="44"/>
      <c r="D133" s="44"/>
      <c r="E133" s="44"/>
      <c r="F133" s="44"/>
      <c r="G133" s="44"/>
      <c r="H133" s="44"/>
      <c r="I133" s="44"/>
      <c r="J133" s="44"/>
      <c r="L133" s="44"/>
      <c r="V133" t="s">
        <v>257</v>
      </c>
      <c r="W133" s="44">
        <f>AVERAGE(W9:W43)</f>
        <v>2.0593010545021428</v>
      </c>
      <c r="X133" s="44">
        <f t="shared" ref="X133:AD133" si="83">AVERAGE(X9:X43)</f>
        <v>2.1466979628655714</v>
      </c>
      <c r="Y133" s="44">
        <f t="shared" si="83"/>
        <v>1.7800546594654283</v>
      </c>
      <c r="Z133" s="44">
        <f t="shared" si="83"/>
        <v>1.5798510620057145</v>
      </c>
      <c r="AA133" s="44">
        <f t="shared" si="83"/>
        <v>0.9373206581314284</v>
      </c>
      <c r="AB133" s="44">
        <f t="shared" si="83"/>
        <v>0.76411154107285717</v>
      </c>
      <c r="AC133" s="44">
        <f t="shared" si="83"/>
        <v>1.3244096811542858</v>
      </c>
      <c r="AD133" s="44">
        <f t="shared" si="83"/>
        <v>1.1506534240057142</v>
      </c>
      <c r="AF133" s="44"/>
      <c r="AG133" s="44">
        <f t="shared" si="74"/>
        <v>0.28209603486330725</v>
      </c>
      <c r="AH133" s="44">
        <f t="shared" si="75"/>
        <v>0.29406821409117417</v>
      </c>
      <c r="AI133" s="44">
        <f t="shared" si="76"/>
        <v>0.24384310403636006</v>
      </c>
      <c r="AJ133" s="44">
        <f t="shared" si="77"/>
        <v>0.21641795369941294</v>
      </c>
      <c r="AK133" s="44">
        <f t="shared" si="78"/>
        <v>0.1841494416761156</v>
      </c>
      <c r="AL133" s="44">
        <f t="shared" si="79"/>
        <v>0.15012014559388157</v>
      </c>
      <c r="AM133" s="44">
        <f t="shared" si="80"/>
        <v>0.32945514456574276</v>
      </c>
      <c r="AN133" s="44">
        <f t="shared" si="81"/>
        <v>0.2862321950262971</v>
      </c>
      <c r="AO133" s="77">
        <f t="shared" si="82"/>
        <v>0.23900888279186969</v>
      </c>
    </row>
    <row r="134" spans="1:42" x14ac:dyDescent="0.25">
      <c r="A134" s="60"/>
      <c r="V134" t="s">
        <v>258</v>
      </c>
      <c r="W134" s="44">
        <f>AVERAGE(W9:W132)</f>
        <v>1.6009256200037616</v>
      </c>
      <c r="X134" s="44">
        <f t="shared" ref="X134:AD134" si="84">AVERAGE(X9:X132)</f>
        <v>1.6686086314991526</v>
      </c>
      <c r="Y134" s="44">
        <f t="shared" si="84"/>
        <v>1.6016793092237092</v>
      </c>
      <c r="Z134" s="44">
        <f t="shared" si="84"/>
        <v>1.5921047005540319</v>
      </c>
      <c r="AA134" s="44">
        <f t="shared" si="84"/>
        <v>0.81965981938362931</v>
      </c>
      <c r="AB134" s="44">
        <f t="shared" si="84"/>
        <v>0.77125202910935453</v>
      </c>
      <c r="AC134" s="44">
        <f t="shared" si="84"/>
        <v>1.1551408137838715</v>
      </c>
      <c r="AD134" s="44">
        <f t="shared" si="84"/>
        <v>1.0105843733114517</v>
      </c>
      <c r="AG134" s="44">
        <f t="shared" si="74"/>
        <v>0.2193048794525701</v>
      </c>
      <c r="AH134" s="44">
        <f t="shared" si="75"/>
        <v>0.22857652486289762</v>
      </c>
      <c r="AI134" s="44">
        <f t="shared" si="76"/>
        <v>0.21940812455119305</v>
      </c>
      <c r="AJ134" s="44">
        <f t="shared" si="77"/>
        <v>0.21809653432247011</v>
      </c>
      <c r="AK134" s="44">
        <f t="shared" si="78"/>
        <v>0.16103336333666587</v>
      </c>
      <c r="AL134" s="44">
        <f t="shared" si="79"/>
        <v>0.15152299196647437</v>
      </c>
      <c r="AM134" s="44">
        <f t="shared" si="80"/>
        <v>0.28734846114026658</v>
      </c>
      <c r="AN134" s="44">
        <f t="shared" si="81"/>
        <v>0.25138914758991338</v>
      </c>
      <c r="AO134" s="77">
        <f t="shared" si="82"/>
        <v>0.21485547318806136</v>
      </c>
    </row>
    <row r="135" spans="1:42" x14ac:dyDescent="0.25">
      <c r="A135" s="57"/>
      <c r="C135" t="s">
        <v>226</v>
      </c>
      <c r="W135" s="44"/>
      <c r="X135" s="44"/>
      <c r="Y135" s="44"/>
      <c r="Z135" s="44"/>
      <c r="AA135" s="44"/>
      <c r="AB135" s="44"/>
      <c r="AC135" s="44"/>
      <c r="AD135" s="44"/>
    </row>
    <row r="136" spans="1:42" x14ac:dyDescent="0.25">
      <c r="A136" s="60"/>
      <c r="C136" s="1" t="s">
        <v>12</v>
      </c>
      <c r="D136" t="s">
        <v>13</v>
      </c>
      <c r="E136" t="s">
        <v>14</v>
      </c>
      <c r="F136" t="s">
        <v>15</v>
      </c>
      <c r="G136" t="s">
        <v>16</v>
      </c>
      <c r="H136" t="s">
        <v>17</v>
      </c>
      <c r="I136" t="s">
        <v>229</v>
      </c>
      <c r="J136" t="s">
        <v>230</v>
      </c>
      <c r="K136" t="s">
        <v>110</v>
      </c>
      <c r="W136" s="1" t="str">
        <f>C136</f>
        <v>NNE</v>
      </c>
      <c r="X136" t="str">
        <f t="shared" ref="X136:X138" si="85">D136</f>
        <v>NE</v>
      </c>
      <c r="Y136" t="str">
        <f t="shared" ref="Y136:Y138" si="86">E136</f>
        <v>ENE</v>
      </c>
      <c r="Z136" t="str">
        <f t="shared" ref="Z136:Z138" si="87">F136</f>
        <v>E</v>
      </c>
      <c r="AA136" t="str">
        <f t="shared" ref="AA136:AA138" si="88">G136</f>
        <v>ESE</v>
      </c>
      <c r="AB136" t="str">
        <f t="shared" ref="AB136:AB138" si="89">H136</f>
        <v>SE</v>
      </c>
      <c r="AC136" t="str">
        <f t="shared" ref="AC136:AC138" si="90">I136</f>
        <v>SSW</v>
      </c>
      <c r="AD136" t="str">
        <f t="shared" ref="AD136:AD138" si="91">J136</f>
        <v>SW</v>
      </c>
      <c r="AG136" s="1" t="s">
        <v>12</v>
      </c>
      <c r="AH136" t="s">
        <v>13</v>
      </c>
      <c r="AI136" t="s">
        <v>14</v>
      </c>
      <c r="AJ136" t="s">
        <v>15</v>
      </c>
      <c r="AK136" t="s">
        <v>16</v>
      </c>
      <c r="AL136" t="s">
        <v>17</v>
      </c>
      <c r="AM136" t="s">
        <v>20</v>
      </c>
      <c r="AN136" t="s">
        <v>21</v>
      </c>
      <c r="AO136" t="s">
        <v>110</v>
      </c>
    </row>
    <row r="137" spans="1:42" x14ac:dyDescent="0.25">
      <c r="A137" s="57"/>
      <c r="C137" s="65">
        <f>C7</f>
        <v>6.0999999999999999E-2</v>
      </c>
      <c r="D137" s="65">
        <f t="shared" ref="D137:J137" si="92">D7</f>
        <v>7.5999999999999998E-2</v>
      </c>
      <c r="E137" s="65">
        <f t="shared" si="92"/>
        <v>0.14000000000000001</v>
      </c>
      <c r="F137" s="65">
        <f t="shared" si="92"/>
        <v>0.22500000000000001</v>
      </c>
      <c r="G137" s="65">
        <f t="shared" si="92"/>
        <v>0.111</v>
      </c>
      <c r="H137" s="65">
        <f t="shared" si="92"/>
        <v>5.2999999999999999E-2</v>
      </c>
      <c r="I137" s="65">
        <f t="shared" si="92"/>
        <v>6.2E-2</v>
      </c>
      <c r="J137" s="65">
        <f t="shared" si="92"/>
        <v>5.8999999999999997E-2</v>
      </c>
      <c r="K137" s="46">
        <f>SUM(C137:J137)</f>
        <v>0.78699999999999992</v>
      </c>
      <c r="W137" s="65">
        <f t="shared" ref="W137:W138" si="93">C137</f>
        <v>6.0999999999999999E-2</v>
      </c>
      <c r="X137" s="65">
        <f t="shared" si="85"/>
        <v>7.5999999999999998E-2</v>
      </c>
      <c r="Y137" s="65">
        <f t="shared" si="86"/>
        <v>0.14000000000000001</v>
      </c>
      <c r="Z137" s="65">
        <f t="shared" si="87"/>
        <v>0.22500000000000001</v>
      </c>
      <c r="AA137" s="65">
        <f t="shared" si="88"/>
        <v>0.111</v>
      </c>
      <c r="AB137" s="65">
        <f t="shared" si="89"/>
        <v>5.2999999999999999E-2</v>
      </c>
      <c r="AC137" s="65">
        <f t="shared" si="90"/>
        <v>6.2E-2</v>
      </c>
      <c r="AD137" s="65">
        <f t="shared" si="91"/>
        <v>5.8999999999999997E-2</v>
      </c>
      <c r="AG137" s="45">
        <f>W137</f>
        <v>6.0999999999999999E-2</v>
      </c>
      <c r="AH137" s="45">
        <f t="shared" ref="AH137:AN138" si="94">X137</f>
        <v>7.5999999999999998E-2</v>
      </c>
      <c r="AI137" s="45">
        <f t="shared" si="94"/>
        <v>0.14000000000000001</v>
      </c>
      <c r="AJ137" s="45">
        <f t="shared" si="94"/>
        <v>0.22500000000000001</v>
      </c>
      <c r="AK137" s="45">
        <f t="shared" si="94"/>
        <v>0.111</v>
      </c>
      <c r="AL137" s="45">
        <f t="shared" si="94"/>
        <v>5.2999999999999999E-2</v>
      </c>
      <c r="AM137" s="45">
        <f t="shared" si="94"/>
        <v>6.2E-2</v>
      </c>
      <c r="AN137" s="45">
        <f t="shared" si="94"/>
        <v>5.8999999999999997E-2</v>
      </c>
    </row>
    <row r="138" spans="1:42" x14ac:dyDescent="0.25">
      <c r="A138" s="60"/>
      <c r="C138" s="75">
        <f>C8</f>
        <v>7.3</v>
      </c>
      <c r="D138" s="75">
        <f t="shared" ref="D138:J138" si="95">D8</f>
        <v>7.3</v>
      </c>
      <c r="E138" s="75">
        <f t="shared" si="95"/>
        <v>7.3</v>
      </c>
      <c r="F138" s="75">
        <f t="shared" si="95"/>
        <v>7.3</v>
      </c>
      <c r="G138" s="75">
        <f t="shared" si="95"/>
        <v>5.09</v>
      </c>
      <c r="H138" s="75">
        <f t="shared" si="95"/>
        <v>5.09</v>
      </c>
      <c r="I138" s="75">
        <f t="shared" si="95"/>
        <v>4.0199999999999996</v>
      </c>
      <c r="J138" s="75">
        <f t="shared" si="95"/>
        <v>4.0199999999999996</v>
      </c>
      <c r="K138" s="46"/>
      <c r="W138" s="66">
        <f t="shared" si="93"/>
        <v>7.3</v>
      </c>
      <c r="X138" s="66">
        <f t="shared" si="85"/>
        <v>7.3</v>
      </c>
      <c r="Y138" s="66">
        <f t="shared" si="86"/>
        <v>7.3</v>
      </c>
      <c r="Z138" s="66">
        <f t="shared" si="87"/>
        <v>7.3</v>
      </c>
      <c r="AA138" s="66">
        <f t="shared" si="88"/>
        <v>5.09</v>
      </c>
      <c r="AB138" s="66">
        <f t="shared" si="89"/>
        <v>5.09</v>
      </c>
      <c r="AC138" s="66">
        <f t="shared" si="90"/>
        <v>4.0199999999999996</v>
      </c>
      <c r="AD138" s="66">
        <f t="shared" si="91"/>
        <v>4.0199999999999996</v>
      </c>
      <c r="AG138" s="63">
        <f>W138</f>
        <v>7.3</v>
      </c>
      <c r="AH138" s="63">
        <f t="shared" si="94"/>
        <v>7.3</v>
      </c>
      <c r="AI138" s="63">
        <f t="shared" si="94"/>
        <v>7.3</v>
      </c>
      <c r="AJ138" s="63">
        <f t="shared" si="94"/>
        <v>7.3</v>
      </c>
      <c r="AK138" s="63">
        <f t="shared" si="94"/>
        <v>5.09</v>
      </c>
      <c r="AL138" s="63">
        <f t="shared" si="94"/>
        <v>5.09</v>
      </c>
      <c r="AM138" s="63">
        <f t="shared" si="94"/>
        <v>4.0199999999999996</v>
      </c>
      <c r="AN138" s="63">
        <f t="shared" si="94"/>
        <v>4.0199999999999996</v>
      </c>
    </row>
    <row r="139" spans="1:42" ht="15.6" x14ac:dyDescent="0.25">
      <c r="A139" s="57"/>
      <c r="B139" s="61" t="s">
        <v>98</v>
      </c>
      <c r="C139" s="44">
        <v>3.8830659390000002</v>
      </c>
      <c r="D139" s="44">
        <v>4.039984703</v>
      </c>
      <c r="E139" s="44">
        <v>2.867715359</v>
      </c>
      <c r="F139" s="44">
        <v>3.2796981330000001</v>
      </c>
      <c r="G139" s="44">
        <v>1.253220081</v>
      </c>
      <c r="H139" s="44">
        <v>1.1813323499999999</v>
      </c>
      <c r="I139" s="44">
        <v>0.34071072940000002</v>
      </c>
      <c r="J139" s="44">
        <v>0.1071264744</v>
      </c>
      <c r="K139" s="44">
        <f t="shared" ref="K139:K202" si="96">SUMPRODUCT(C139:J139,$C$7:$J$7)/$K$7</f>
        <v>2.4300897848099114</v>
      </c>
      <c r="N139">
        <v>1</v>
      </c>
      <c r="O139">
        <v>1</v>
      </c>
      <c r="P139">
        <v>1</v>
      </c>
      <c r="Q139">
        <v>1.05</v>
      </c>
      <c r="R139">
        <v>1</v>
      </c>
      <c r="S139">
        <v>1.05</v>
      </c>
      <c r="T139">
        <v>1.05</v>
      </c>
      <c r="U139">
        <v>1</v>
      </c>
      <c r="W139" s="44">
        <f>C139*N139</f>
        <v>3.8830659390000002</v>
      </c>
      <c r="X139" s="44">
        <f t="shared" ref="X139:X202" si="97">D139*O139</f>
        <v>4.039984703</v>
      </c>
      <c r="Y139" s="44">
        <f t="shared" ref="Y139:Y202" si="98">E139*P139</f>
        <v>2.867715359</v>
      </c>
      <c r="Z139" s="44">
        <f t="shared" ref="Z139:Z202" si="99">F139*Q139</f>
        <v>3.4436830396500002</v>
      </c>
      <c r="AA139" s="44">
        <f t="shared" ref="AA139:AA202" si="100">G139*R139</f>
        <v>1.253220081</v>
      </c>
      <c r="AB139" s="44">
        <f t="shared" ref="AB139:AB202" si="101">H139*S139</f>
        <v>1.2403989675</v>
      </c>
      <c r="AC139" s="44">
        <f t="shared" ref="AC139:AC202" si="102">I139*T139</f>
        <v>0.35774626587000002</v>
      </c>
      <c r="AD139" s="44">
        <f t="shared" ref="AD139:AD202" si="103">J139*U139</f>
        <v>0.1071264744</v>
      </c>
      <c r="AF139" s="61" t="str">
        <f>B139</f>
        <v>P1</v>
      </c>
      <c r="AG139" s="44">
        <f>W139/W$8</f>
        <v>0.53192684095890419</v>
      </c>
      <c r="AH139" s="44">
        <f t="shared" ref="AH139:AH202" si="104">X139/X$8</f>
        <v>0.55342256205479456</v>
      </c>
      <c r="AI139" s="44">
        <f t="shared" ref="AI139:AI202" si="105">Y139/Y$8</f>
        <v>0.39283772041095893</v>
      </c>
      <c r="AJ139" s="44">
        <f t="shared" ref="AJ139:AJ202" si="106">Z139/Z$8</f>
        <v>0.47173740269178088</v>
      </c>
      <c r="AK139" s="44">
        <f t="shared" ref="AK139:AK202" si="107">AA139/AA$8</f>
        <v>0.2462121966601179</v>
      </c>
      <c r="AL139" s="44">
        <f t="shared" ref="AL139:AL202" si="108">AB139/AB$8</f>
        <v>0.24369331385068763</v>
      </c>
      <c r="AM139" s="44">
        <f t="shared" ref="AM139:AM202" si="109">AC139/AC$8</f>
        <v>8.8991608425373153E-2</v>
      </c>
      <c r="AN139" s="44">
        <f t="shared" ref="AN139:AN202" si="110">AD139/AD$8</f>
        <v>2.6648376716417916E-2</v>
      </c>
      <c r="AO139" s="44">
        <f t="shared" ref="AO139:AO202" si="111">SUMPRODUCT(AG139:AN139,$C$7:$J$7)/$K$7</f>
        <v>0.35956910024122474</v>
      </c>
    </row>
    <row r="140" spans="1:42" ht="15.6" x14ac:dyDescent="0.25">
      <c r="A140" s="60"/>
      <c r="B140" s="62" t="s">
        <v>99</v>
      </c>
      <c r="C140" s="44">
        <v>3.8943877219999998</v>
      </c>
      <c r="D140" s="44">
        <v>3.7653312680000002</v>
      </c>
      <c r="E140" s="44">
        <v>2.9146389959999999</v>
      </c>
      <c r="F140" s="44">
        <v>2.6316771509999999</v>
      </c>
      <c r="G140" s="44">
        <v>0.93467587230000004</v>
      </c>
      <c r="H140" s="44">
        <v>0.53930026289999999</v>
      </c>
      <c r="I140" s="44">
        <v>0.17322967950000001</v>
      </c>
      <c r="J140" s="44">
        <v>5.6149505080000002E-2</v>
      </c>
      <c r="K140" s="44">
        <f t="shared" si="96"/>
        <v>2.1223438913757562</v>
      </c>
      <c r="L140" s="59"/>
      <c r="N140">
        <v>1</v>
      </c>
      <c r="O140">
        <v>1</v>
      </c>
      <c r="P140">
        <v>1</v>
      </c>
      <c r="Q140">
        <v>1.05</v>
      </c>
      <c r="R140">
        <v>1</v>
      </c>
      <c r="S140">
        <v>1.05</v>
      </c>
      <c r="T140">
        <v>1.05</v>
      </c>
      <c r="U140">
        <v>1</v>
      </c>
      <c r="W140" s="44">
        <f t="shared" ref="W140:W203" si="112">C140*N140</f>
        <v>3.8943877219999998</v>
      </c>
      <c r="X140" s="44">
        <f t="shared" si="97"/>
        <v>3.7653312680000002</v>
      </c>
      <c r="Y140" s="44">
        <f t="shared" si="98"/>
        <v>2.9146389959999999</v>
      </c>
      <c r="Z140" s="44">
        <f t="shared" si="99"/>
        <v>2.7632610085499998</v>
      </c>
      <c r="AA140" s="44">
        <f t="shared" si="100"/>
        <v>0.93467587230000004</v>
      </c>
      <c r="AB140" s="44">
        <f t="shared" si="101"/>
        <v>0.56626527604499999</v>
      </c>
      <c r="AC140" s="44">
        <f t="shared" si="102"/>
        <v>0.18189116347500001</v>
      </c>
      <c r="AD140" s="44">
        <f t="shared" si="103"/>
        <v>5.6149505080000002E-2</v>
      </c>
      <c r="AF140" s="61" t="str">
        <f t="shared" ref="AF140:AF203" si="113">B140</f>
        <v>P2</v>
      </c>
      <c r="AG140" s="44">
        <f t="shared" ref="AG140:AG203" si="114">W140/W$8</f>
        <v>0.53347777013698627</v>
      </c>
      <c r="AH140" s="44">
        <f t="shared" si="104"/>
        <v>0.51579880383561649</v>
      </c>
      <c r="AI140" s="44">
        <f t="shared" si="105"/>
        <v>0.39926561589041093</v>
      </c>
      <c r="AJ140" s="44">
        <f t="shared" si="106"/>
        <v>0.37852890528082189</v>
      </c>
      <c r="AK140" s="44">
        <f t="shared" si="107"/>
        <v>0.18362983738703342</v>
      </c>
      <c r="AL140" s="44">
        <f t="shared" si="108"/>
        <v>0.111250545391945</v>
      </c>
      <c r="AM140" s="44">
        <f t="shared" si="109"/>
        <v>4.5246558078358215E-2</v>
      </c>
      <c r="AN140" s="44">
        <f t="shared" si="110"/>
        <v>1.3967538577114429E-2</v>
      </c>
      <c r="AO140" s="44">
        <f t="shared" si="111"/>
        <v>0.30840864703347809</v>
      </c>
    </row>
    <row r="141" spans="1:42" ht="15.6" x14ac:dyDescent="0.25">
      <c r="A141" s="57"/>
      <c r="B141" s="61" t="s">
        <v>100</v>
      </c>
      <c r="C141" s="44">
        <v>3.8493404390000001</v>
      </c>
      <c r="D141" s="44">
        <v>3.535844564</v>
      </c>
      <c r="E141" s="44">
        <v>2.8883421419999999</v>
      </c>
      <c r="F141" s="44">
        <v>2.663250208</v>
      </c>
      <c r="G141" s="44">
        <v>0.92481279370000002</v>
      </c>
      <c r="H141" s="44">
        <v>0.49705752730000002</v>
      </c>
      <c r="I141" s="44">
        <v>0.85806512830000004</v>
      </c>
      <c r="J141" s="44">
        <v>0.51566618679999998</v>
      </c>
      <c r="K141" s="44">
        <f t="shared" si="96"/>
        <v>2.1852042723588316</v>
      </c>
      <c r="L141" s="44"/>
      <c r="N141">
        <v>1</v>
      </c>
      <c r="O141">
        <v>1</v>
      </c>
      <c r="P141">
        <v>1</v>
      </c>
      <c r="Q141">
        <v>1.05</v>
      </c>
      <c r="R141">
        <v>1</v>
      </c>
      <c r="S141">
        <v>1.05</v>
      </c>
      <c r="T141">
        <v>1.05</v>
      </c>
      <c r="U141">
        <v>1</v>
      </c>
      <c r="W141" s="44">
        <f t="shared" si="112"/>
        <v>3.8493404390000001</v>
      </c>
      <c r="X141" s="44">
        <f t="shared" si="97"/>
        <v>3.535844564</v>
      </c>
      <c r="Y141" s="44">
        <f t="shared" si="98"/>
        <v>2.8883421419999999</v>
      </c>
      <c r="Z141" s="44">
        <f t="shared" si="99"/>
        <v>2.7964127184000001</v>
      </c>
      <c r="AA141" s="44">
        <f t="shared" si="100"/>
        <v>0.92481279370000002</v>
      </c>
      <c r="AB141" s="44">
        <f t="shared" si="101"/>
        <v>0.52191040366500008</v>
      </c>
      <c r="AC141" s="44">
        <f t="shared" si="102"/>
        <v>0.90096838471500007</v>
      </c>
      <c r="AD141" s="44">
        <f t="shared" si="103"/>
        <v>0.51566618679999998</v>
      </c>
      <c r="AF141" s="61" t="str">
        <f t="shared" si="113"/>
        <v>P3</v>
      </c>
      <c r="AG141" s="44">
        <f t="shared" si="114"/>
        <v>0.52730690945205483</v>
      </c>
      <c r="AH141" s="44">
        <f t="shared" si="104"/>
        <v>0.48436226904109592</v>
      </c>
      <c r="AI141" s="44">
        <f t="shared" si="105"/>
        <v>0.39566330712328768</v>
      </c>
      <c r="AJ141" s="44">
        <f t="shared" si="106"/>
        <v>0.38307023539726032</v>
      </c>
      <c r="AK141" s="44">
        <f t="shared" si="107"/>
        <v>0.18169210092337917</v>
      </c>
      <c r="AL141" s="44">
        <f t="shared" si="108"/>
        <v>0.10253642508153243</v>
      </c>
      <c r="AM141" s="44">
        <f t="shared" si="109"/>
        <v>0.22412148873507468</v>
      </c>
      <c r="AN141" s="44">
        <f t="shared" si="110"/>
        <v>0.12827517084577114</v>
      </c>
      <c r="AO141" s="44">
        <f t="shared" si="111"/>
        <v>0.32735316518250818</v>
      </c>
    </row>
    <row r="142" spans="1:42" ht="15.6" x14ac:dyDescent="0.25">
      <c r="A142" s="60"/>
      <c r="B142" s="62" t="s">
        <v>101</v>
      </c>
      <c r="C142" s="44">
        <v>2.9208784099999998</v>
      </c>
      <c r="D142" s="44">
        <v>2.9223117830000001</v>
      </c>
      <c r="E142" s="44">
        <v>2.291011095</v>
      </c>
      <c r="F142" s="44">
        <v>2.7397739890000001</v>
      </c>
      <c r="G142" s="44">
        <v>0.86145496369999996</v>
      </c>
      <c r="H142" s="44">
        <v>0.72082644699999998</v>
      </c>
      <c r="I142" s="44">
        <v>0.88634705540000003</v>
      </c>
      <c r="J142" s="44">
        <v>1.072128177</v>
      </c>
      <c r="K142" s="44">
        <f t="shared" si="96"/>
        <v>2.019687880409784</v>
      </c>
      <c r="L142" s="58"/>
      <c r="N142">
        <v>1</v>
      </c>
      <c r="O142">
        <v>1</v>
      </c>
      <c r="P142">
        <v>1</v>
      </c>
      <c r="Q142">
        <v>1.05</v>
      </c>
      <c r="R142">
        <v>1</v>
      </c>
      <c r="S142">
        <v>1.05</v>
      </c>
      <c r="T142">
        <v>1.05</v>
      </c>
      <c r="U142">
        <v>1</v>
      </c>
      <c r="W142" s="44">
        <f t="shared" si="112"/>
        <v>2.9208784099999998</v>
      </c>
      <c r="X142" s="44">
        <f t="shared" si="97"/>
        <v>2.9223117830000001</v>
      </c>
      <c r="Y142" s="44">
        <f t="shared" si="98"/>
        <v>2.291011095</v>
      </c>
      <c r="Z142" s="44">
        <f t="shared" si="99"/>
        <v>2.8767626884500004</v>
      </c>
      <c r="AA142" s="44">
        <f t="shared" si="100"/>
        <v>0.86145496369999996</v>
      </c>
      <c r="AB142" s="44">
        <f t="shared" si="101"/>
        <v>0.75686776935</v>
      </c>
      <c r="AC142" s="44">
        <f t="shared" si="102"/>
        <v>0.93066440817000007</v>
      </c>
      <c r="AD142" s="44">
        <f t="shared" si="103"/>
        <v>1.072128177</v>
      </c>
      <c r="AF142" s="61" t="str">
        <f t="shared" si="113"/>
        <v>P4</v>
      </c>
      <c r="AG142" s="44">
        <f t="shared" si="114"/>
        <v>0.40012033013698628</v>
      </c>
      <c r="AH142" s="44">
        <f t="shared" si="104"/>
        <v>0.40031668260273973</v>
      </c>
      <c r="AI142" s="44">
        <f t="shared" si="105"/>
        <v>0.31383713630136989</v>
      </c>
      <c r="AJ142" s="44">
        <f t="shared" si="106"/>
        <v>0.39407708060958913</v>
      </c>
      <c r="AK142" s="44">
        <f t="shared" si="107"/>
        <v>0.16924459011787818</v>
      </c>
      <c r="AL142" s="44">
        <f t="shared" si="108"/>
        <v>0.14869700773084479</v>
      </c>
      <c r="AM142" s="44">
        <f t="shared" si="109"/>
        <v>0.2315085592462687</v>
      </c>
      <c r="AN142" s="44">
        <f t="shared" si="110"/>
        <v>0.26669855149253735</v>
      </c>
      <c r="AO142" s="44">
        <f t="shared" si="111"/>
        <v>0.31028181240109454</v>
      </c>
    </row>
    <row r="143" spans="1:42" ht="15.6" x14ac:dyDescent="0.25">
      <c r="A143" s="57"/>
      <c r="B143" s="61" t="s">
        <v>102</v>
      </c>
      <c r="C143" s="44">
        <v>2.05852747</v>
      </c>
      <c r="D143" s="44">
        <v>2.0059778690000001</v>
      </c>
      <c r="E143" s="44">
        <v>1.633746862</v>
      </c>
      <c r="F143" s="44">
        <v>2.1202366349999999</v>
      </c>
      <c r="G143" s="44">
        <v>0.78079175950000002</v>
      </c>
      <c r="H143" s="44">
        <v>0.43077975509999999</v>
      </c>
      <c r="I143" s="44">
        <v>0.37961876389999999</v>
      </c>
      <c r="J143" s="44">
        <v>0.68228507039999997</v>
      </c>
      <c r="K143" s="44">
        <f t="shared" si="96"/>
        <v>1.4702575503293525</v>
      </c>
      <c r="L143" s="44"/>
      <c r="N143">
        <v>1</v>
      </c>
      <c r="O143">
        <v>1</v>
      </c>
      <c r="P143">
        <v>1</v>
      </c>
      <c r="Q143">
        <v>1.05</v>
      </c>
      <c r="R143">
        <v>1</v>
      </c>
      <c r="S143">
        <v>1.05</v>
      </c>
      <c r="T143">
        <v>1.05</v>
      </c>
      <c r="U143">
        <v>1</v>
      </c>
      <c r="W143" s="44">
        <f t="shared" si="112"/>
        <v>2.05852747</v>
      </c>
      <c r="X143" s="44">
        <f t="shared" si="97"/>
        <v>2.0059778690000001</v>
      </c>
      <c r="Y143" s="44">
        <f t="shared" si="98"/>
        <v>1.633746862</v>
      </c>
      <c r="Z143" s="44">
        <f t="shared" si="99"/>
        <v>2.22624846675</v>
      </c>
      <c r="AA143" s="44">
        <f t="shared" si="100"/>
        <v>0.78079175950000002</v>
      </c>
      <c r="AB143" s="44">
        <f t="shared" si="101"/>
        <v>0.45231874285500001</v>
      </c>
      <c r="AC143" s="44">
        <f t="shared" si="102"/>
        <v>0.39859970209500001</v>
      </c>
      <c r="AD143" s="44">
        <f t="shared" si="103"/>
        <v>0.68228507039999997</v>
      </c>
      <c r="AF143" s="61" t="str">
        <f t="shared" si="113"/>
        <v>P5</v>
      </c>
      <c r="AG143" s="44">
        <f t="shared" si="114"/>
        <v>0.28199006438356167</v>
      </c>
      <c r="AH143" s="44">
        <f t="shared" si="104"/>
        <v>0.27479148890410959</v>
      </c>
      <c r="AI143" s="44">
        <f t="shared" si="105"/>
        <v>0.22380094</v>
      </c>
      <c r="AJ143" s="44">
        <f t="shared" si="106"/>
        <v>0.30496554339041099</v>
      </c>
      <c r="AK143" s="44">
        <f t="shared" si="107"/>
        <v>0.15339720225933204</v>
      </c>
      <c r="AL143" s="44">
        <f t="shared" si="108"/>
        <v>8.8864193095284871E-2</v>
      </c>
      <c r="AM143" s="44">
        <f t="shared" si="109"/>
        <v>9.9154154750000015E-2</v>
      </c>
      <c r="AN143" s="44">
        <f t="shared" si="110"/>
        <v>0.16972265432835823</v>
      </c>
      <c r="AO143" s="44">
        <f t="shared" si="111"/>
        <v>0.22354893498305101</v>
      </c>
    </row>
    <row r="144" spans="1:42" ht="15.6" x14ac:dyDescent="0.25">
      <c r="A144" s="60"/>
      <c r="B144" s="62" t="s">
        <v>103</v>
      </c>
      <c r="C144" s="44">
        <v>0.63992053270000004</v>
      </c>
      <c r="D144" s="44">
        <v>1.679414988</v>
      </c>
      <c r="E144" s="44">
        <v>1.1510025260000001</v>
      </c>
      <c r="F144" s="44">
        <v>2.2274994850000001</v>
      </c>
      <c r="G144" s="44">
        <v>0.83792889120000003</v>
      </c>
      <c r="H144" s="44">
        <v>0.77139955760000001</v>
      </c>
      <c r="I144" s="44">
        <v>0.36727285389999997</v>
      </c>
      <c r="J144" s="44">
        <v>0.66373950240000001</v>
      </c>
      <c r="K144" s="44">
        <f t="shared" si="96"/>
        <v>1.3021909280903432</v>
      </c>
      <c r="L144" s="58"/>
      <c r="N144">
        <v>1</v>
      </c>
      <c r="O144">
        <v>1</v>
      </c>
      <c r="P144">
        <v>1</v>
      </c>
      <c r="Q144">
        <v>1.05</v>
      </c>
      <c r="R144">
        <v>1</v>
      </c>
      <c r="S144">
        <v>1.05</v>
      </c>
      <c r="T144">
        <v>1.05</v>
      </c>
      <c r="U144">
        <v>1</v>
      </c>
      <c r="W144" s="44">
        <f t="shared" si="112"/>
        <v>0.63992053270000004</v>
      </c>
      <c r="X144" s="44">
        <f t="shared" si="97"/>
        <v>1.679414988</v>
      </c>
      <c r="Y144" s="44">
        <f t="shared" si="98"/>
        <v>1.1510025260000001</v>
      </c>
      <c r="Z144" s="44">
        <f t="shared" si="99"/>
        <v>2.3388744592500004</v>
      </c>
      <c r="AA144" s="44">
        <f t="shared" si="100"/>
        <v>0.83792889120000003</v>
      </c>
      <c r="AB144" s="44">
        <f t="shared" si="101"/>
        <v>0.80996953548000006</v>
      </c>
      <c r="AC144" s="44">
        <f t="shared" si="102"/>
        <v>0.38563649659499999</v>
      </c>
      <c r="AD144" s="44">
        <f t="shared" si="103"/>
        <v>0.66373950240000001</v>
      </c>
      <c r="AF144" s="61" t="str">
        <f t="shared" si="113"/>
        <v>P6</v>
      </c>
      <c r="AG144" s="44">
        <f t="shared" si="114"/>
        <v>8.7660346945205483E-2</v>
      </c>
      <c r="AH144" s="44">
        <f t="shared" si="104"/>
        <v>0.23005684767123288</v>
      </c>
      <c r="AI144" s="44">
        <f t="shared" si="105"/>
        <v>0.1576715789041096</v>
      </c>
      <c r="AJ144" s="44">
        <f t="shared" si="106"/>
        <v>0.32039376154109594</v>
      </c>
      <c r="AK144" s="44">
        <f t="shared" si="107"/>
        <v>0.16462257194499019</v>
      </c>
      <c r="AL144" s="44">
        <f t="shared" si="108"/>
        <v>0.15912957475049117</v>
      </c>
      <c r="AM144" s="44">
        <f t="shared" si="109"/>
        <v>9.5929476764925387E-2</v>
      </c>
      <c r="AN144" s="44">
        <f t="shared" si="110"/>
        <v>0.1651093289552239</v>
      </c>
      <c r="AO144" s="44">
        <f t="shared" si="111"/>
        <v>0.20252893252280399</v>
      </c>
    </row>
    <row r="145" spans="1:41" ht="15.6" x14ac:dyDescent="0.25">
      <c r="A145" s="57"/>
      <c r="B145" s="61" t="s">
        <v>104</v>
      </c>
      <c r="C145" s="44">
        <v>2.5995488170000001</v>
      </c>
      <c r="D145" s="44">
        <v>2.1115760799999999</v>
      </c>
      <c r="E145" s="44">
        <v>1.616494417</v>
      </c>
      <c r="F145" s="44">
        <v>1.893325806</v>
      </c>
      <c r="G145" s="44">
        <v>0.93471425770000005</v>
      </c>
      <c r="H145" s="44">
        <v>0.98927658799999996</v>
      </c>
      <c r="I145" s="44">
        <v>0.45527592300000003</v>
      </c>
      <c r="J145" s="44">
        <v>0.35505157710000002</v>
      </c>
      <c r="K145" s="44">
        <f t="shared" si="96"/>
        <v>1.4951967937618806</v>
      </c>
      <c r="L145" s="44"/>
      <c r="N145">
        <v>1</v>
      </c>
      <c r="O145">
        <v>1</v>
      </c>
      <c r="P145">
        <v>1</v>
      </c>
      <c r="Q145">
        <v>1.05</v>
      </c>
      <c r="R145">
        <v>1</v>
      </c>
      <c r="S145">
        <v>1.05</v>
      </c>
      <c r="T145">
        <v>1.05</v>
      </c>
      <c r="U145">
        <v>1</v>
      </c>
      <c r="W145" s="44">
        <f t="shared" si="112"/>
        <v>2.5995488170000001</v>
      </c>
      <c r="X145" s="44">
        <f t="shared" si="97"/>
        <v>2.1115760799999999</v>
      </c>
      <c r="Y145" s="44">
        <f t="shared" si="98"/>
        <v>1.616494417</v>
      </c>
      <c r="Z145" s="44">
        <f t="shared" si="99"/>
        <v>1.9879920963000002</v>
      </c>
      <c r="AA145" s="44">
        <f t="shared" si="100"/>
        <v>0.93471425770000005</v>
      </c>
      <c r="AB145" s="44">
        <f t="shared" si="101"/>
        <v>1.0387404173999999</v>
      </c>
      <c r="AC145" s="44">
        <f t="shared" si="102"/>
        <v>0.47803971915000004</v>
      </c>
      <c r="AD145" s="44">
        <f t="shared" si="103"/>
        <v>0.35505157710000002</v>
      </c>
      <c r="AF145" s="61" t="str">
        <f t="shared" si="113"/>
        <v>P7</v>
      </c>
      <c r="AG145" s="44">
        <f t="shared" si="114"/>
        <v>0.35610257767123288</v>
      </c>
      <c r="AH145" s="44">
        <f t="shared" si="104"/>
        <v>0.28925699726027398</v>
      </c>
      <c r="AI145" s="44">
        <f t="shared" si="105"/>
        <v>0.22143759136986302</v>
      </c>
      <c r="AJ145" s="44">
        <f t="shared" si="106"/>
        <v>0.27232768442465755</v>
      </c>
      <c r="AK145" s="44">
        <f t="shared" si="107"/>
        <v>0.18363737872298627</v>
      </c>
      <c r="AL145" s="44">
        <f t="shared" si="108"/>
        <v>0.20407473819253436</v>
      </c>
      <c r="AM145" s="44">
        <f t="shared" si="109"/>
        <v>0.11891535302238808</v>
      </c>
      <c r="AN145" s="44">
        <f t="shared" si="110"/>
        <v>8.8321287835820911E-2</v>
      </c>
      <c r="AO145" s="44">
        <f t="shared" si="111"/>
        <v>0.22841702522136226</v>
      </c>
    </row>
    <row r="146" spans="1:41" ht="15.6" x14ac:dyDescent="0.25">
      <c r="A146" s="60"/>
      <c r="B146" s="62" t="s">
        <v>105</v>
      </c>
      <c r="C146" s="44">
        <v>2.7689290049999999</v>
      </c>
      <c r="D146" s="44">
        <v>2.833747625</v>
      </c>
      <c r="E146" s="44">
        <v>2.5724804400000001</v>
      </c>
      <c r="F146" s="44">
        <v>1.169063687</v>
      </c>
      <c r="G146" s="44">
        <v>1.228507757</v>
      </c>
      <c r="H146" s="44">
        <v>0.96312403680000003</v>
      </c>
      <c r="I146" s="44">
        <v>1.8748800750000001</v>
      </c>
      <c r="J146" s="44">
        <v>1.309179664</v>
      </c>
      <c r="K146" s="44">
        <f t="shared" si="96"/>
        <v>1.7641044215799242</v>
      </c>
      <c r="L146" s="58"/>
      <c r="N146">
        <v>1</v>
      </c>
      <c r="O146">
        <v>1</v>
      </c>
      <c r="P146">
        <v>1</v>
      </c>
      <c r="Q146">
        <v>1.05</v>
      </c>
      <c r="R146">
        <v>1</v>
      </c>
      <c r="S146">
        <v>1.05</v>
      </c>
      <c r="T146">
        <v>1.05</v>
      </c>
      <c r="U146">
        <v>1</v>
      </c>
      <c r="W146" s="44">
        <f t="shared" si="112"/>
        <v>2.7689290049999999</v>
      </c>
      <c r="X146" s="44">
        <f t="shared" si="97"/>
        <v>2.833747625</v>
      </c>
      <c r="Y146" s="44">
        <f t="shared" si="98"/>
        <v>2.5724804400000001</v>
      </c>
      <c r="Z146" s="44">
        <f t="shared" si="99"/>
        <v>1.22751687135</v>
      </c>
      <c r="AA146" s="44">
        <f t="shared" si="100"/>
        <v>1.228507757</v>
      </c>
      <c r="AB146" s="44">
        <f t="shared" si="101"/>
        <v>1.0112802386400002</v>
      </c>
      <c r="AC146" s="44">
        <f t="shared" si="102"/>
        <v>1.9686240787500002</v>
      </c>
      <c r="AD146" s="44">
        <f t="shared" si="103"/>
        <v>1.309179664</v>
      </c>
      <c r="AF146" s="61" t="str">
        <f t="shared" si="113"/>
        <v>P8</v>
      </c>
      <c r="AG146" s="44">
        <f t="shared" si="114"/>
        <v>0.37930534315068493</v>
      </c>
      <c r="AH146" s="44">
        <f t="shared" si="104"/>
        <v>0.38818460616438355</v>
      </c>
      <c r="AI146" s="44">
        <f t="shared" si="105"/>
        <v>0.35239458082191782</v>
      </c>
      <c r="AJ146" s="44">
        <f t="shared" si="106"/>
        <v>0.16815299607534248</v>
      </c>
      <c r="AK146" s="44">
        <f t="shared" si="107"/>
        <v>0.24135712318271121</v>
      </c>
      <c r="AL146" s="44">
        <f t="shared" si="108"/>
        <v>0.19867981112770142</v>
      </c>
      <c r="AM146" s="44">
        <f t="shared" si="109"/>
        <v>0.48970748227611949</v>
      </c>
      <c r="AN146" s="44">
        <f t="shared" si="110"/>
        <v>0.32566658308457713</v>
      </c>
      <c r="AO146" s="44">
        <f t="shared" si="111"/>
        <v>0.28806376670757827</v>
      </c>
    </row>
    <row r="147" spans="1:41" ht="15.6" x14ac:dyDescent="0.25">
      <c r="A147" s="57"/>
      <c r="B147" s="61" t="s">
        <v>106</v>
      </c>
      <c r="C147" s="44">
        <v>2.679987192</v>
      </c>
      <c r="D147" s="44">
        <v>2.3733985419999999</v>
      </c>
      <c r="E147" s="44">
        <v>1.8348578209999999</v>
      </c>
      <c r="F147" s="44">
        <v>0.59141749139999999</v>
      </c>
      <c r="G147" s="44">
        <v>1.253581762</v>
      </c>
      <c r="H147" s="44">
        <v>1.1747816799999999</v>
      </c>
      <c r="I147" s="44">
        <v>2.0215799809999999</v>
      </c>
      <c r="J147" s="44">
        <v>1.7146598099999999</v>
      </c>
      <c r="K147" s="44">
        <f t="shared" si="96"/>
        <v>1.4761377771829736</v>
      </c>
      <c r="L147" s="44"/>
      <c r="N147">
        <v>1</v>
      </c>
      <c r="O147">
        <v>1</v>
      </c>
      <c r="P147">
        <v>1</v>
      </c>
      <c r="Q147">
        <v>1.05</v>
      </c>
      <c r="R147">
        <v>1</v>
      </c>
      <c r="S147">
        <v>1.05</v>
      </c>
      <c r="T147">
        <v>1.05</v>
      </c>
      <c r="U147">
        <v>1</v>
      </c>
      <c r="W147" s="44">
        <f t="shared" si="112"/>
        <v>2.679987192</v>
      </c>
      <c r="X147" s="44">
        <f t="shared" si="97"/>
        <v>2.3733985419999999</v>
      </c>
      <c r="Y147" s="44">
        <f t="shared" si="98"/>
        <v>1.8348578209999999</v>
      </c>
      <c r="Z147" s="44">
        <f t="shared" si="99"/>
        <v>0.62098836597000007</v>
      </c>
      <c r="AA147" s="44">
        <f t="shared" si="100"/>
        <v>1.253581762</v>
      </c>
      <c r="AB147" s="44">
        <f t="shared" si="101"/>
        <v>1.2335207639999999</v>
      </c>
      <c r="AC147" s="44">
        <f t="shared" si="102"/>
        <v>2.1226589800500002</v>
      </c>
      <c r="AD147" s="44">
        <f t="shared" si="103"/>
        <v>1.7146598099999999</v>
      </c>
      <c r="AF147" s="61" t="str">
        <f t="shared" si="113"/>
        <v>P9</v>
      </c>
      <c r="AG147" s="44">
        <f t="shared" si="114"/>
        <v>0.36712153315068496</v>
      </c>
      <c r="AH147" s="44">
        <f t="shared" si="104"/>
        <v>0.32512308794520545</v>
      </c>
      <c r="AI147" s="44">
        <f t="shared" si="105"/>
        <v>0.25135038643835617</v>
      </c>
      <c r="AJ147" s="44">
        <f t="shared" si="106"/>
        <v>8.506689944794521E-2</v>
      </c>
      <c r="AK147" s="44">
        <f t="shared" si="107"/>
        <v>0.24628325383104127</v>
      </c>
      <c r="AL147" s="44">
        <f t="shared" si="108"/>
        <v>0.2423419968565815</v>
      </c>
      <c r="AM147" s="44">
        <f t="shared" si="109"/>
        <v>0.52802462190298516</v>
      </c>
      <c r="AN147" s="44">
        <f t="shared" si="110"/>
        <v>0.42653229104477614</v>
      </c>
      <c r="AO147" s="44">
        <f t="shared" si="111"/>
        <v>0.25351635758761909</v>
      </c>
    </row>
    <row r="148" spans="1:41" ht="15.6" x14ac:dyDescent="0.25">
      <c r="A148" s="60"/>
      <c r="B148" s="62" t="s">
        <v>107</v>
      </c>
      <c r="C148" s="44">
        <v>2.107521057</v>
      </c>
      <c r="D148" s="44">
        <v>2.3087759019999998</v>
      </c>
      <c r="E148" s="44">
        <v>3.1046011450000002</v>
      </c>
      <c r="F148" s="44">
        <v>0.80901217459999997</v>
      </c>
      <c r="G148" s="44">
        <v>1.095998883</v>
      </c>
      <c r="H148" s="44">
        <v>1.16800189</v>
      </c>
      <c r="I148" s="44">
        <v>1.7254867549999999</v>
      </c>
      <c r="J148" s="44">
        <v>1.6334003210000001</v>
      </c>
      <c r="K148" s="44">
        <f t="shared" si="96"/>
        <v>1.6615100718500637</v>
      </c>
      <c r="L148" s="58"/>
      <c r="N148">
        <v>1</v>
      </c>
      <c r="O148">
        <v>1</v>
      </c>
      <c r="P148">
        <v>1</v>
      </c>
      <c r="Q148">
        <v>1.05</v>
      </c>
      <c r="R148">
        <v>1</v>
      </c>
      <c r="S148">
        <v>1.05</v>
      </c>
      <c r="T148">
        <v>1.05</v>
      </c>
      <c r="U148">
        <v>1</v>
      </c>
      <c r="W148" s="44">
        <f t="shared" si="112"/>
        <v>2.107521057</v>
      </c>
      <c r="X148" s="44">
        <f t="shared" si="97"/>
        <v>2.3087759019999998</v>
      </c>
      <c r="Y148" s="44">
        <f t="shared" si="98"/>
        <v>3.1046011450000002</v>
      </c>
      <c r="Z148" s="44">
        <f t="shared" si="99"/>
        <v>0.84946278333000003</v>
      </c>
      <c r="AA148" s="44">
        <f t="shared" si="100"/>
        <v>1.095998883</v>
      </c>
      <c r="AB148" s="44">
        <f t="shared" si="101"/>
        <v>1.2264019845</v>
      </c>
      <c r="AC148" s="44">
        <f t="shared" si="102"/>
        <v>1.8117610927500001</v>
      </c>
      <c r="AD148" s="44">
        <f t="shared" si="103"/>
        <v>1.6334003210000001</v>
      </c>
      <c r="AF148" s="61" t="str">
        <f t="shared" si="113"/>
        <v>P10</v>
      </c>
      <c r="AG148" s="44">
        <f t="shared" si="114"/>
        <v>0.28870151465753424</v>
      </c>
      <c r="AH148" s="44">
        <f t="shared" si="104"/>
        <v>0.31627067150684929</v>
      </c>
      <c r="AI148" s="44">
        <f t="shared" si="105"/>
        <v>0.42528782808219179</v>
      </c>
      <c r="AJ148" s="44">
        <f t="shared" si="106"/>
        <v>0.11636476483972603</v>
      </c>
      <c r="AK148" s="44">
        <f t="shared" si="107"/>
        <v>0.2153239455795678</v>
      </c>
      <c r="AL148" s="44">
        <f t="shared" si="108"/>
        <v>0.24094341542239686</v>
      </c>
      <c r="AM148" s="44">
        <f t="shared" si="109"/>
        <v>0.45068683899253736</v>
      </c>
      <c r="AN148" s="44">
        <f t="shared" si="110"/>
        <v>0.40631848781094532</v>
      </c>
      <c r="AO148" s="44">
        <f t="shared" si="111"/>
        <v>0.27440414895067033</v>
      </c>
    </row>
    <row r="149" spans="1:41" ht="15.6" x14ac:dyDescent="0.25">
      <c r="A149" s="57"/>
      <c r="B149" s="61" t="s">
        <v>108</v>
      </c>
      <c r="C149" s="44">
        <v>2.5158154960000001</v>
      </c>
      <c r="D149" s="44">
        <v>2.3809504509999999</v>
      </c>
      <c r="E149" s="44">
        <v>3.0899345870000001</v>
      </c>
      <c r="F149" s="44">
        <v>0.47458788750000003</v>
      </c>
      <c r="G149" s="44">
        <v>0.94516867400000004</v>
      </c>
      <c r="H149" s="44">
        <v>0.80769872669999998</v>
      </c>
      <c r="I149" s="44">
        <v>1.7924168110000001</v>
      </c>
      <c r="J149" s="44">
        <v>1.721262455</v>
      </c>
      <c r="K149" s="44">
        <f t="shared" si="96"/>
        <v>1.5682289439080053</v>
      </c>
      <c r="L149" s="44"/>
      <c r="N149">
        <v>1</v>
      </c>
      <c r="O149">
        <v>1</v>
      </c>
      <c r="P149">
        <v>1</v>
      </c>
      <c r="Q149">
        <v>1.05</v>
      </c>
      <c r="R149">
        <v>1</v>
      </c>
      <c r="S149">
        <v>1.05</v>
      </c>
      <c r="T149">
        <v>1.05</v>
      </c>
      <c r="U149">
        <v>1</v>
      </c>
      <c r="W149" s="44">
        <f t="shared" si="112"/>
        <v>2.5158154960000001</v>
      </c>
      <c r="X149" s="44">
        <f t="shared" si="97"/>
        <v>2.3809504509999999</v>
      </c>
      <c r="Y149" s="44">
        <f t="shared" si="98"/>
        <v>3.0899345870000001</v>
      </c>
      <c r="Z149" s="44">
        <f t="shared" si="99"/>
        <v>0.49831728187500007</v>
      </c>
      <c r="AA149" s="44">
        <f t="shared" si="100"/>
        <v>0.94516867400000004</v>
      </c>
      <c r="AB149" s="44">
        <f t="shared" si="101"/>
        <v>0.84808366303500005</v>
      </c>
      <c r="AC149" s="44">
        <f t="shared" si="102"/>
        <v>1.8820376515500001</v>
      </c>
      <c r="AD149" s="44">
        <f t="shared" si="103"/>
        <v>1.721262455</v>
      </c>
      <c r="AF149" s="61" t="str">
        <f t="shared" si="113"/>
        <v>P11</v>
      </c>
      <c r="AG149" s="44">
        <f t="shared" si="114"/>
        <v>0.3446322597260274</v>
      </c>
      <c r="AH149" s="44">
        <f t="shared" si="104"/>
        <v>0.32615759602739725</v>
      </c>
      <c r="AI149" s="44">
        <f t="shared" si="105"/>
        <v>0.42327871054794525</v>
      </c>
      <c r="AJ149" s="44">
        <f t="shared" si="106"/>
        <v>6.8262641352739739E-2</v>
      </c>
      <c r="AK149" s="44">
        <f t="shared" si="107"/>
        <v>0.18569129155206288</v>
      </c>
      <c r="AL149" s="44">
        <f t="shared" si="108"/>
        <v>0.16661761552750493</v>
      </c>
      <c r="AM149" s="44">
        <f t="shared" si="109"/>
        <v>0.46816857003731349</v>
      </c>
      <c r="AN149" s="44">
        <f t="shared" si="110"/>
        <v>0.42817474004975126</v>
      </c>
      <c r="AO149" s="44">
        <f t="shared" si="111"/>
        <v>0.25941535821211453</v>
      </c>
    </row>
    <row r="150" spans="1:41" ht="15.6" x14ac:dyDescent="0.25">
      <c r="B150" s="62" t="s">
        <v>109</v>
      </c>
      <c r="C150" s="44">
        <v>2.9265656469999999</v>
      </c>
      <c r="D150" s="44">
        <v>2.5430929660000001</v>
      </c>
      <c r="E150" s="44">
        <v>3.1345119480000001</v>
      </c>
      <c r="F150" s="44">
        <v>0.86331480739999999</v>
      </c>
      <c r="G150" s="44">
        <v>0.41208702330000002</v>
      </c>
      <c r="H150" s="44">
        <v>0.35976997020000001</v>
      </c>
      <c r="I150" s="44">
        <v>2.0801782609999999</v>
      </c>
      <c r="J150" s="44">
        <v>1.9186096189999999</v>
      </c>
      <c r="K150" s="44">
        <f t="shared" si="96"/>
        <v>1.6669016035297335</v>
      </c>
      <c r="L150" s="58"/>
      <c r="N150">
        <v>1</v>
      </c>
      <c r="O150">
        <v>1</v>
      </c>
      <c r="P150">
        <v>1</v>
      </c>
      <c r="Q150">
        <v>1.05</v>
      </c>
      <c r="R150">
        <v>1</v>
      </c>
      <c r="S150">
        <v>1.05</v>
      </c>
      <c r="T150">
        <v>1.05</v>
      </c>
      <c r="U150">
        <v>1</v>
      </c>
      <c r="W150" s="44">
        <f t="shared" si="112"/>
        <v>2.9265656469999999</v>
      </c>
      <c r="X150" s="44">
        <f t="shared" si="97"/>
        <v>2.5430929660000001</v>
      </c>
      <c r="Y150" s="44">
        <f t="shared" si="98"/>
        <v>3.1345119480000001</v>
      </c>
      <c r="Z150" s="44">
        <f t="shared" si="99"/>
        <v>0.90648054776999998</v>
      </c>
      <c r="AA150" s="44">
        <f t="shared" si="100"/>
        <v>0.41208702330000002</v>
      </c>
      <c r="AB150" s="44">
        <f t="shared" si="101"/>
        <v>0.37775846871000002</v>
      </c>
      <c r="AC150" s="44">
        <f t="shared" si="102"/>
        <v>2.1841871740499998</v>
      </c>
      <c r="AD150" s="44">
        <f t="shared" si="103"/>
        <v>1.9186096189999999</v>
      </c>
      <c r="AF150" s="61" t="str">
        <f t="shared" si="113"/>
        <v>P12</v>
      </c>
      <c r="AG150" s="44">
        <f t="shared" si="114"/>
        <v>0.40089940369863014</v>
      </c>
      <c r="AH150" s="44">
        <f t="shared" si="104"/>
        <v>0.34836889945205479</v>
      </c>
      <c r="AI150" s="44">
        <f t="shared" si="105"/>
        <v>0.4293851983561644</v>
      </c>
      <c r="AJ150" s="44">
        <f t="shared" si="106"/>
        <v>0.12417541750273972</v>
      </c>
      <c r="AK150" s="44">
        <f t="shared" si="107"/>
        <v>8.0960122455795688E-2</v>
      </c>
      <c r="AL150" s="44">
        <f t="shared" si="108"/>
        <v>7.4215809176817291E-2</v>
      </c>
      <c r="AM150" s="44">
        <f t="shared" si="109"/>
        <v>0.54333014279850744</v>
      </c>
      <c r="AN150" s="44">
        <f t="shared" si="110"/>
        <v>0.47726607437810947</v>
      </c>
      <c r="AO150" s="44">
        <f t="shared" si="111"/>
        <v>0.27160034995264631</v>
      </c>
    </row>
    <row r="151" spans="1:41" ht="15.6" x14ac:dyDescent="0.25">
      <c r="B151" s="61" t="s">
        <v>152</v>
      </c>
      <c r="C151" s="44">
        <v>4.0216684340000004</v>
      </c>
      <c r="D151" s="44">
        <v>3.8208992479999999</v>
      </c>
      <c r="E151" s="44">
        <v>4.0187873840000004</v>
      </c>
      <c r="F151" s="44">
        <v>1.169955611</v>
      </c>
      <c r="G151" s="44">
        <v>0.49440738560000003</v>
      </c>
      <c r="H151" s="44">
        <v>0.53225272889999997</v>
      </c>
      <c r="I151" s="44">
        <v>2.3882293699999999</v>
      </c>
      <c r="J151" s="44">
        <v>2.2103710169999999</v>
      </c>
      <c r="K151" s="44">
        <f t="shared" si="96"/>
        <v>2.1895185373993651</v>
      </c>
      <c r="L151" s="44"/>
      <c r="N151">
        <v>1</v>
      </c>
      <c r="O151">
        <v>1</v>
      </c>
      <c r="P151">
        <v>1</v>
      </c>
      <c r="Q151">
        <v>1.05</v>
      </c>
      <c r="R151">
        <v>1</v>
      </c>
      <c r="S151">
        <v>1.05</v>
      </c>
      <c r="T151">
        <v>1.05</v>
      </c>
      <c r="U151">
        <v>1</v>
      </c>
      <c r="W151" s="44">
        <f t="shared" si="112"/>
        <v>4.0216684340000004</v>
      </c>
      <c r="X151" s="44">
        <f t="shared" si="97"/>
        <v>3.8208992479999999</v>
      </c>
      <c r="Y151" s="44">
        <f t="shared" si="98"/>
        <v>4.0187873840000004</v>
      </c>
      <c r="Z151" s="44">
        <f t="shared" si="99"/>
        <v>1.22845339155</v>
      </c>
      <c r="AA151" s="44">
        <f t="shared" si="100"/>
        <v>0.49440738560000003</v>
      </c>
      <c r="AB151" s="44">
        <f t="shared" si="101"/>
        <v>0.55886536534499998</v>
      </c>
      <c r="AC151" s="44">
        <f t="shared" si="102"/>
        <v>2.5076408385</v>
      </c>
      <c r="AD151" s="44">
        <f t="shared" si="103"/>
        <v>2.2103710169999999</v>
      </c>
      <c r="AF151" s="61" t="str">
        <f t="shared" si="113"/>
        <v>P13</v>
      </c>
      <c r="AG151" s="44">
        <f t="shared" si="114"/>
        <v>0.55091348410958907</v>
      </c>
      <c r="AH151" s="44">
        <f t="shared" si="104"/>
        <v>0.52341085589041092</v>
      </c>
      <c r="AI151" s="44">
        <f t="shared" si="105"/>
        <v>0.55051881972602745</v>
      </c>
      <c r="AJ151" s="44">
        <f t="shared" si="106"/>
        <v>0.16828128651369864</v>
      </c>
      <c r="AK151" s="44">
        <f t="shared" si="107"/>
        <v>9.7133081650294703E-2</v>
      </c>
      <c r="AL151" s="44">
        <f t="shared" si="108"/>
        <v>0.10979673189489195</v>
      </c>
      <c r="AM151" s="44">
        <f t="shared" si="109"/>
        <v>0.62379125335820906</v>
      </c>
      <c r="AN151" s="44">
        <f t="shared" si="110"/>
        <v>0.54984353656716423</v>
      </c>
      <c r="AO151" s="44">
        <f t="shared" si="111"/>
        <v>0.35074675606717393</v>
      </c>
    </row>
    <row r="152" spans="1:41" ht="15.6" x14ac:dyDescent="0.25">
      <c r="B152" s="62" t="s">
        <v>153</v>
      </c>
      <c r="C152" s="44">
        <v>2.3123171330000001</v>
      </c>
      <c r="D152" s="44">
        <v>2.1940109730000001</v>
      </c>
      <c r="E152" s="44">
        <v>2.2435743810000002</v>
      </c>
      <c r="F152" s="44">
        <v>0.86205506320000003</v>
      </c>
      <c r="G152" s="44">
        <v>0.50694161650000003</v>
      </c>
      <c r="H152" s="44">
        <v>0.3711287975</v>
      </c>
      <c r="I152" s="44">
        <v>1.8256515259999999</v>
      </c>
      <c r="J152" s="44">
        <v>1.7579180000000001</v>
      </c>
      <c r="K152" s="44">
        <f t="shared" si="96"/>
        <v>1.4087762184650574</v>
      </c>
      <c r="L152" s="58"/>
      <c r="N152">
        <v>1</v>
      </c>
      <c r="O152">
        <v>1</v>
      </c>
      <c r="P152">
        <v>1</v>
      </c>
      <c r="Q152">
        <v>1.05</v>
      </c>
      <c r="R152">
        <v>1</v>
      </c>
      <c r="S152">
        <v>1.05</v>
      </c>
      <c r="T152">
        <v>1.05</v>
      </c>
      <c r="U152">
        <v>1</v>
      </c>
      <c r="W152" s="44">
        <f t="shared" si="112"/>
        <v>2.3123171330000001</v>
      </c>
      <c r="X152" s="44">
        <f t="shared" si="97"/>
        <v>2.1940109730000001</v>
      </c>
      <c r="Y152" s="44">
        <f t="shared" si="98"/>
        <v>2.2435743810000002</v>
      </c>
      <c r="Z152" s="44">
        <f t="shared" si="99"/>
        <v>0.90515781636000003</v>
      </c>
      <c r="AA152" s="44">
        <f t="shared" si="100"/>
        <v>0.50694161650000003</v>
      </c>
      <c r="AB152" s="44">
        <f t="shared" si="101"/>
        <v>0.38968523737499999</v>
      </c>
      <c r="AC152" s="44">
        <f t="shared" si="102"/>
        <v>1.9169341022999999</v>
      </c>
      <c r="AD152" s="44">
        <f t="shared" si="103"/>
        <v>1.7579180000000001</v>
      </c>
      <c r="AF152" s="61" t="str">
        <f t="shared" si="113"/>
        <v>P14</v>
      </c>
      <c r="AG152" s="44">
        <f t="shared" si="114"/>
        <v>0.31675577164383562</v>
      </c>
      <c r="AH152" s="44">
        <f t="shared" si="104"/>
        <v>0.30054944835616443</v>
      </c>
      <c r="AI152" s="44">
        <f t="shared" si="105"/>
        <v>0.30733895630136987</v>
      </c>
      <c r="AJ152" s="44">
        <f t="shared" si="106"/>
        <v>0.1239942214191781</v>
      </c>
      <c r="AK152" s="44">
        <f t="shared" si="107"/>
        <v>9.9595602455795684E-2</v>
      </c>
      <c r="AL152" s="44">
        <f t="shared" si="108"/>
        <v>7.6558985731827109E-2</v>
      </c>
      <c r="AM152" s="44">
        <f t="shared" si="109"/>
        <v>0.47684927917910452</v>
      </c>
      <c r="AN152" s="44">
        <f t="shared" si="110"/>
        <v>0.43729303482587073</v>
      </c>
      <c r="AO152" s="44">
        <f t="shared" si="111"/>
        <v>0.23324993180058498</v>
      </c>
    </row>
    <row r="153" spans="1:41" ht="15.6" x14ac:dyDescent="0.25">
      <c r="B153" s="61" t="s">
        <v>154</v>
      </c>
      <c r="C153" s="44">
        <v>1.4763001200000001</v>
      </c>
      <c r="D153" s="44">
        <v>1.1604192259999999</v>
      </c>
      <c r="E153" s="44">
        <v>1.2974346880000001</v>
      </c>
      <c r="F153" s="44">
        <v>0.18192358310000001</v>
      </c>
      <c r="G153" s="44">
        <v>0.33888190979999999</v>
      </c>
      <c r="H153" s="44">
        <v>0.15228959919999999</v>
      </c>
      <c r="I153" s="44">
        <v>0.85071289539999995</v>
      </c>
      <c r="J153" s="44">
        <v>0.88711380959999997</v>
      </c>
      <c r="K153" s="44">
        <f t="shared" si="96"/>
        <v>0.70087800005095313</v>
      </c>
      <c r="L153" s="44"/>
      <c r="N153">
        <v>1</v>
      </c>
      <c r="O153">
        <v>1</v>
      </c>
      <c r="P153">
        <v>1</v>
      </c>
      <c r="Q153">
        <v>1.05</v>
      </c>
      <c r="R153">
        <v>1</v>
      </c>
      <c r="S153">
        <v>1.05</v>
      </c>
      <c r="T153">
        <v>1.05</v>
      </c>
      <c r="U153">
        <v>1</v>
      </c>
      <c r="W153" s="44">
        <f t="shared" si="112"/>
        <v>1.4763001200000001</v>
      </c>
      <c r="X153" s="44">
        <f t="shared" si="97"/>
        <v>1.1604192259999999</v>
      </c>
      <c r="Y153" s="44">
        <f t="shared" si="98"/>
        <v>1.2974346880000001</v>
      </c>
      <c r="Z153" s="44">
        <f t="shared" si="99"/>
        <v>0.191019762255</v>
      </c>
      <c r="AA153" s="44">
        <f t="shared" si="100"/>
        <v>0.33888190979999999</v>
      </c>
      <c r="AB153" s="44">
        <f t="shared" si="101"/>
        <v>0.15990407915999999</v>
      </c>
      <c r="AC153" s="44">
        <f t="shared" si="102"/>
        <v>0.89324854016999999</v>
      </c>
      <c r="AD153" s="44">
        <f t="shared" si="103"/>
        <v>0.88711380959999997</v>
      </c>
      <c r="AF153" s="61" t="str">
        <f t="shared" si="113"/>
        <v>P15</v>
      </c>
      <c r="AG153" s="44">
        <f t="shared" si="114"/>
        <v>0.20223289315068496</v>
      </c>
      <c r="AH153" s="44">
        <f t="shared" si="104"/>
        <v>0.15896153780821917</v>
      </c>
      <c r="AI153" s="44">
        <f t="shared" si="105"/>
        <v>0.17773077917808219</v>
      </c>
      <c r="AJ153" s="44">
        <f t="shared" si="106"/>
        <v>2.6167090719863013E-2</v>
      </c>
      <c r="AK153" s="44">
        <f t="shared" si="107"/>
        <v>6.6577978349705302E-2</v>
      </c>
      <c r="AL153" s="44">
        <f t="shared" si="108"/>
        <v>3.1415339717092337E-2</v>
      </c>
      <c r="AM153" s="44">
        <f t="shared" si="109"/>
        <v>0.22220112939552242</v>
      </c>
      <c r="AN153" s="44">
        <f t="shared" si="110"/>
        <v>0.22067507701492539</v>
      </c>
      <c r="AO153" s="44">
        <f t="shared" si="111"/>
        <v>0.11567808897171956</v>
      </c>
    </row>
    <row r="154" spans="1:41" ht="15.6" x14ac:dyDescent="0.25">
      <c r="B154" s="62" t="s">
        <v>155</v>
      </c>
      <c r="C154" s="44">
        <v>2.1434435839999999</v>
      </c>
      <c r="D154" s="44">
        <v>1.4855579139999999</v>
      </c>
      <c r="E154" s="44">
        <v>1.308642149</v>
      </c>
      <c r="F154" s="44">
        <v>1.88473618</v>
      </c>
      <c r="G154" s="44">
        <v>1.075281739</v>
      </c>
      <c r="H154" s="44">
        <v>1.1321495770000001</v>
      </c>
      <c r="I154" s="44">
        <v>1.1115840669999999</v>
      </c>
      <c r="J154" s="44">
        <v>1.0623630289999999</v>
      </c>
      <c r="K154" s="44">
        <f t="shared" si="96"/>
        <v>1.4763479452642949</v>
      </c>
      <c r="L154" s="58"/>
      <c r="N154">
        <v>1</v>
      </c>
      <c r="O154">
        <v>1</v>
      </c>
      <c r="P154">
        <v>1</v>
      </c>
      <c r="Q154">
        <v>1.04</v>
      </c>
      <c r="R154">
        <v>1</v>
      </c>
      <c r="S154">
        <v>1.05</v>
      </c>
      <c r="T154">
        <v>1.05</v>
      </c>
      <c r="U154">
        <v>1</v>
      </c>
      <c r="W154" s="44">
        <f t="shared" si="112"/>
        <v>2.1434435839999999</v>
      </c>
      <c r="X154" s="44">
        <f t="shared" si="97"/>
        <v>1.4855579139999999</v>
      </c>
      <c r="Y154" s="44">
        <f t="shared" si="98"/>
        <v>1.308642149</v>
      </c>
      <c r="Z154" s="44">
        <f t="shared" si="99"/>
        <v>1.9601256272000001</v>
      </c>
      <c r="AA154" s="44">
        <f t="shared" si="100"/>
        <v>1.075281739</v>
      </c>
      <c r="AB154" s="44">
        <f t="shared" si="101"/>
        <v>1.18875705585</v>
      </c>
      <c r="AC154" s="44">
        <f t="shared" si="102"/>
        <v>1.1671632703499999</v>
      </c>
      <c r="AD154" s="44">
        <f t="shared" si="103"/>
        <v>1.0623630289999999</v>
      </c>
      <c r="AF154" s="61" t="str">
        <f t="shared" si="113"/>
        <v>P16</v>
      </c>
      <c r="AG154" s="44">
        <f t="shared" si="114"/>
        <v>0.29362240876712326</v>
      </c>
      <c r="AH154" s="44">
        <f t="shared" si="104"/>
        <v>0.20350108410958903</v>
      </c>
      <c r="AI154" s="44">
        <f t="shared" si="105"/>
        <v>0.17926604780821917</v>
      </c>
      <c r="AJ154" s="44">
        <f t="shared" si="106"/>
        <v>0.268510359890411</v>
      </c>
      <c r="AK154" s="44">
        <f t="shared" si="107"/>
        <v>0.21125377976424362</v>
      </c>
      <c r="AL154" s="44">
        <f t="shared" si="108"/>
        <v>0.2335475551768173</v>
      </c>
      <c r="AM154" s="44">
        <f t="shared" si="109"/>
        <v>0.29033912197761197</v>
      </c>
      <c r="AN154" s="44">
        <f t="shared" si="110"/>
        <v>0.26426941019900496</v>
      </c>
      <c r="AO154" s="44">
        <f t="shared" si="111"/>
        <v>0.23927476205612708</v>
      </c>
    </row>
    <row r="155" spans="1:41" ht="15.6" x14ac:dyDescent="0.25">
      <c r="B155" s="61" t="s">
        <v>156</v>
      </c>
      <c r="C155" s="44">
        <v>1.9097187520000001</v>
      </c>
      <c r="D155" s="44">
        <v>1.593958497</v>
      </c>
      <c r="E155" s="44">
        <v>0.59279352429999999</v>
      </c>
      <c r="F155" s="44">
        <v>2.119048357</v>
      </c>
      <c r="G155" s="44">
        <v>0.71355944869999999</v>
      </c>
      <c r="H155" s="44">
        <v>0.26673778889999999</v>
      </c>
      <c r="I155" s="44">
        <v>1.6902097460000001</v>
      </c>
      <c r="J155" s="44">
        <v>1.2177903649999999</v>
      </c>
      <c r="K155" s="44">
        <f t="shared" si="96"/>
        <v>1.3562839908200766</v>
      </c>
      <c r="L155" s="44"/>
      <c r="N155">
        <v>1</v>
      </c>
      <c r="O155">
        <v>1</v>
      </c>
      <c r="P155">
        <v>1</v>
      </c>
      <c r="Q155">
        <v>1.04</v>
      </c>
      <c r="R155">
        <v>1</v>
      </c>
      <c r="S155">
        <v>1.05</v>
      </c>
      <c r="T155">
        <v>1.05</v>
      </c>
      <c r="U155">
        <v>1</v>
      </c>
      <c r="W155" s="44">
        <f t="shared" si="112"/>
        <v>1.9097187520000001</v>
      </c>
      <c r="X155" s="44">
        <f t="shared" si="97"/>
        <v>1.593958497</v>
      </c>
      <c r="Y155" s="44">
        <f t="shared" si="98"/>
        <v>0.59279352429999999</v>
      </c>
      <c r="Z155" s="44">
        <f t="shared" si="99"/>
        <v>2.2038102912799999</v>
      </c>
      <c r="AA155" s="44">
        <f t="shared" si="100"/>
        <v>0.71355944869999999</v>
      </c>
      <c r="AB155" s="44">
        <f t="shared" si="101"/>
        <v>0.28007467834499999</v>
      </c>
      <c r="AC155" s="44">
        <f t="shared" si="102"/>
        <v>1.7747202333000001</v>
      </c>
      <c r="AD155" s="44">
        <f t="shared" si="103"/>
        <v>1.2177903649999999</v>
      </c>
      <c r="AF155" s="61" t="str">
        <f t="shared" si="113"/>
        <v>P17</v>
      </c>
      <c r="AG155" s="44">
        <f t="shared" si="114"/>
        <v>0.26160530849315072</v>
      </c>
      <c r="AH155" s="44">
        <f t="shared" si="104"/>
        <v>0.21835047904109589</v>
      </c>
      <c r="AI155" s="44">
        <f t="shared" si="105"/>
        <v>8.1204592369863007E-2</v>
      </c>
      <c r="AJ155" s="44">
        <f t="shared" si="106"/>
        <v>0.30189182072328768</v>
      </c>
      <c r="AK155" s="44">
        <f t="shared" si="107"/>
        <v>0.14018849679764245</v>
      </c>
      <c r="AL155" s="44">
        <f t="shared" si="108"/>
        <v>5.5024494763261295E-2</v>
      </c>
      <c r="AM155" s="44">
        <f t="shared" si="109"/>
        <v>0.44147269485074631</v>
      </c>
      <c r="AN155" s="44">
        <f t="shared" si="110"/>
        <v>0.30293292661691545</v>
      </c>
      <c r="AO155" s="44">
        <f t="shared" si="111"/>
        <v>0.22308568480033231</v>
      </c>
    </row>
    <row r="156" spans="1:41" ht="15.6" x14ac:dyDescent="0.25">
      <c r="A156" s="59"/>
      <c r="B156" s="62" t="s">
        <v>157</v>
      </c>
      <c r="C156" s="44">
        <v>0.57387566570000004</v>
      </c>
      <c r="D156" s="44">
        <v>0.63003337380000002</v>
      </c>
      <c r="E156" s="44">
        <v>0.55640494819999997</v>
      </c>
      <c r="F156" s="44">
        <v>0.3925025761</v>
      </c>
      <c r="G156" s="44">
        <v>0.18986789879999999</v>
      </c>
      <c r="H156" s="44">
        <v>0.53813791280000001</v>
      </c>
      <c r="I156" s="44">
        <v>1.389244199</v>
      </c>
      <c r="J156" s="44">
        <v>1.0532420870000001</v>
      </c>
      <c r="K156" s="44">
        <f t="shared" si="96"/>
        <v>0.56794128844116898</v>
      </c>
      <c r="L156" s="58"/>
      <c r="N156">
        <v>1</v>
      </c>
      <c r="O156">
        <v>1</v>
      </c>
      <c r="P156">
        <v>1</v>
      </c>
      <c r="Q156">
        <v>1.04</v>
      </c>
      <c r="R156">
        <v>1</v>
      </c>
      <c r="S156">
        <v>1.05</v>
      </c>
      <c r="T156">
        <v>1.05</v>
      </c>
      <c r="U156">
        <v>1</v>
      </c>
      <c r="W156" s="44">
        <f t="shared" si="112"/>
        <v>0.57387566570000004</v>
      </c>
      <c r="X156" s="44">
        <f t="shared" si="97"/>
        <v>0.63003337380000002</v>
      </c>
      <c r="Y156" s="44">
        <f t="shared" si="98"/>
        <v>0.55640494819999997</v>
      </c>
      <c r="Z156" s="44">
        <f t="shared" si="99"/>
        <v>0.40820267914399999</v>
      </c>
      <c r="AA156" s="44">
        <f t="shared" si="100"/>
        <v>0.18986789879999999</v>
      </c>
      <c r="AB156" s="44">
        <f t="shared" si="101"/>
        <v>0.56504480844000005</v>
      </c>
      <c r="AC156" s="44">
        <f t="shared" si="102"/>
        <v>1.4587064089499999</v>
      </c>
      <c r="AD156" s="44">
        <f t="shared" si="103"/>
        <v>1.0532420870000001</v>
      </c>
      <c r="AF156" s="61" t="str">
        <f t="shared" si="113"/>
        <v>P18</v>
      </c>
      <c r="AG156" s="44">
        <f t="shared" si="114"/>
        <v>7.861310489041097E-2</v>
      </c>
      <c r="AH156" s="44">
        <f t="shared" si="104"/>
        <v>8.6305941616438356E-2</v>
      </c>
      <c r="AI156" s="44">
        <f t="shared" si="105"/>
        <v>7.6219855917808221E-2</v>
      </c>
      <c r="AJ156" s="44">
        <f t="shared" si="106"/>
        <v>5.591817522520548E-2</v>
      </c>
      <c r="AK156" s="44">
        <f t="shared" si="107"/>
        <v>3.7302141218074653E-2</v>
      </c>
      <c r="AL156" s="44">
        <f t="shared" si="108"/>
        <v>0.11101076786640472</v>
      </c>
      <c r="AM156" s="44">
        <f t="shared" si="109"/>
        <v>0.36286229078358212</v>
      </c>
      <c r="AN156" s="44">
        <f t="shared" si="110"/>
        <v>0.26200051915422889</v>
      </c>
      <c r="AO156" s="44">
        <f t="shared" si="111"/>
        <v>0.10493852763168501</v>
      </c>
    </row>
    <row r="157" spans="1:41" ht="15.6" x14ac:dyDescent="0.25">
      <c r="A157" s="57"/>
      <c r="B157" s="61" t="s">
        <v>158</v>
      </c>
      <c r="C157" s="44">
        <v>0.57805705070000002</v>
      </c>
      <c r="D157" s="44">
        <v>0.54139226679999997</v>
      </c>
      <c r="E157" s="44">
        <v>0.49537679550000002</v>
      </c>
      <c r="F157" s="44">
        <v>0.39979258179999999</v>
      </c>
      <c r="G157" s="44">
        <v>0.4693745077</v>
      </c>
      <c r="H157" s="44">
        <v>0.20264166589999999</v>
      </c>
      <c r="I157" s="44">
        <v>1.8601208929999999</v>
      </c>
      <c r="J157" s="44">
        <v>1.5118075609999999</v>
      </c>
      <c r="K157" s="44">
        <f t="shared" si="96"/>
        <v>0.63923519028831011</v>
      </c>
      <c r="L157" s="44"/>
      <c r="N157">
        <v>1</v>
      </c>
      <c r="O157">
        <v>1</v>
      </c>
      <c r="P157">
        <v>1</v>
      </c>
      <c r="Q157">
        <v>1.04</v>
      </c>
      <c r="R157">
        <v>1</v>
      </c>
      <c r="S157">
        <v>1.05</v>
      </c>
      <c r="T157">
        <v>1.05</v>
      </c>
      <c r="U157">
        <v>1</v>
      </c>
      <c r="W157" s="44">
        <f t="shared" si="112"/>
        <v>0.57805705070000002</v>
      </c>
      <c r="X157" s="44">
        <f t="shared" si="97"/>
        <v>0.54139226679999997</v>
      </c>
      <c r="Y157" s="44">
        <f t="shared" si="98"/>
        <v>0.49537679550000002</v>
      </c>
      <c r="Z157" s="44">
        <f t="shared" si="99"/>
        <v>0.41578428507199999</v>
      </c>
      <c r="AA157" s="44">
        <f t="shared" si="100"/>
        <v>0.4693745077</v>
      </c>
      <c r="AB157" s="44">
        <f t="shared" si="101"/>
        <v>0.212773749195</v>
      </c>
      <c r="AC157" s="44">
        <f t="shared" si="102"/>
        <v>1.95312693765</v>
      </c>
      <c r="AD157" s="44">
        <f t="shared" si="103"/>
        <v>1.5118075609999999</v>
      </c>
      <c r="AF157" s="61" t="str">
        <f t="shared" si="113"/>
        <v>P19</v>
      </c>
      <c r="AG157" s="44">
        <f t="shared" si="114"/>
        <v>7.9185897356164395E-2</v>
      </c>
      <c r="AH157" s="44">
        <f t="shared" si="104"/>
        <v>7.4163324219178081E-2</v>
      </c>
      <c r="AI157" s="44">
        <f t="shared" si="105"/>
        <v>6.7859835000000007E-2</v>
      </c>
      <c r="AJ157" s="44">
        <f t="shared" si="106"/>
        <v>5.6956751379726028E-2</v>
      </c>
      <c r="AK157" s="44">
        <f t="shared" si="107"/>
        <v>9.2215030982318272E-2</v>
      </c>
      <c r="AL157" s="44">
        <f t="shared" si="108"/>
        <v>4.1802308289783895E-2</v>
      </c>
      <c r="AM157" s="44">
        <f t="shared" si="109"/>
        <v>0.48585247205223886</v>
      </c>
      <c r="AN157" s="44">
        <f t="shared" si="110"/>
        <v>0.37607153258706472</v>
      </c>
      <c r="AO157" s="44">
        <f t="shared" si="111"/>
        <v>0.12394518781206283</v>
      </c>
    </row>
    <row r="158" spans="1:41" ht="15.6" x14ac:dyDescent="0.25">
      <c r="A158" s="60"/>
      <c r="B158" s="62" t="s">
        <v>159</v>
      </c>
      <c r="C158" s="44">
        <v>0.4781194627</v>
      </c>
      <c r="D158" s="44">
        <v>0.338252306</v>
      </c>
      <c r="E158" s="44">
        <v>0.3346738219</v>
      </c>
      <c r="F158" s="44">
        <v>0.82174319029999998</v>
      </c>
      <c r="G158" s="44">
        <v>0.36142542960000001</v>
      </c>
      <c r="H158" s="44">
        <v>0.1646204144</v>
      </c>
      <c r="I158" s="44">
        <v>1.993080854</v>
      </c>
      <c r="J158" s="44">
        <v>1.706702232</v>
      </c>
      <c r="K158" s="44">
        <f t="shared" si="96"/>
        <v>0.71121799828335464</v>
      </c>
      <c r="L158" s="58"/>
      <c r="N158">
        <v>1</v>
      </c>
      <c r="O158">
        <v>1</v>
      </c>
      <c r="P158">
        <v>1</v>
      </c>
      <c r="Q158">
        <v>1.04</v>
      </c>
      <c r="R158">
        <v>1</v>
      </c>
      <c r="S158">
        <v>1.05</v>
      </c>
      <c r="T158">
        <v>1.05</v>
      </c>
      <c r="U158">
        <v>1</v>
      </c>
      <c r="W158" s="44">
        <f t="shared" si="112"/>
        <v>0.4781194627</v>
      </c>
      <c r="X158" s="44">
        <f t="shared" si="97"/>
        <v>0.338252306</v>
      </c>
      <c r="Y158" s="44">
        <f t="shared" si="98"/>
        <v>0.3346738219</v>
      </c>
      <c r="Z158" s="44">
        <f t="shared" si="99"/>
        <v>0.854612917912</v>
      </c>
      <c r="AA158" s="44">
        <f t="shared" si="100"/>
        <v>0.36142542960000001</v>
      </c>
      <c r="AB158" s="44">
        <f t="shared" si="101"/>
        <v>0.17285143512000001</v>
      </c>
      <c r="AC158" s="44">
        <f t="shared" si="102"/>
        <v>2.0927348967000001</v>
      </c>
      <c r="AD158" s="44">
        <f t="shared" si="103"/>
        <v>1.706702232</v>
      </c>
      <c r="AF158" s="61" t="str">
        <f t="shared" si="113"/>
        <v>P20</v>
      </c>
      <c r="AG158" s="44">
        <f t="shared" si="114"/>
        <v>6.5495816808219184E-2</v>
      </c>
      <c r="AH158" s="44">
        <f t="shared" si="104"/>
        <v>4.6335932328767128E-2</v>
      </c>
      <c r="AI158" s="44">
        <f t="shared" si="105"/>
        <v>4.584572902739726E-2</v>
      </c>
      <c r="AJ158" s="44">
        <f t="shared" si="106"/>
        <v>0.11707026272767124</v>
      </c>
      <c r="AK158" s="44">
        <f t="shared" si="107"/>
        <v>7.1006960628683696E-2</v>
      </c>
      <c r="AL158" s="44">
        <f t="shared" si="108"/>
        <v>3.3959024581532417E-2</v>
      </c>
      <c r="AM158" s="44">
        <f t="shared" si="109"/>
        <v>0.52058082007462692</v>
      </c>
      <c r="AN158" s="44">
        <f t="shared" si="110"/>
        <v>0.4245527940298508</v>
      </c>
      <c r="AO158" s="44">
        <f t="shared" si="111"/>
        <v>0.13631793327171854</v>
      </c>
    </row>
    <row r="159" spans="1:41" ht="15.6" x14ac:dyDescent="0.25">
      <c r="A159" s="57"/>
      <c r="B159" s="61" t="s">
        <v>160</v>
      </c>
      <c r="C159" s="44">
        <v>2.6945056919999999</v>
      </c>
      <c r="D159" s="44">
        <v>1.6528881790000001</v>
      </c>
      <c r="E159" s="44">
        <v>1.6893340349999999</v>
      </c>
      <c r="F159" s="44">
        <v>1.7611002920000001</v>
      </c>
      <c r="G159" s="44">
        <v>1.725543499</v>
      </c>
      <c r="H159" s="44">
        <v>1.0887449979999999</v>
      </c>
      <c r="I159" s="44">
        <v>1.878740549</v>
      </c>
      <c r="J159" s="44">
        <v>1.791190743</v>
      </c>
      <c r="K159" s="44">
        <f t="shared" si="96"/>
        <v>1.7714608139440917</v>
      </c>
      <c r="L159" s="44"/>
      <c r="N159">
        <v>1</v>
      </c>
      <c r="O159">
        <v>1</v>
      </c>
      <c r="P159">
        <v>1</v>
      </c>
      <c r="Q159">
        <v>1.04</v>
      </c>
      <c r="R159">
        <v>1</v>
      </c>
      <c r="S159">
        <v>1.05</v>
      </c>
      <c r="T159">
        <v>1.05</v>
      </c>
      <c r="U159">
        <v>1</v>
      </c>
      <c r="W159" s="44">
        <f t="shared" si="112"/>
        <v>2.6945056919999999</v>
      </c>
      <c r="X159" s="44">
        <f t="shared" si="97"/>
        <v>1.6528881790000001</v>
      </c>
      <c r="Y159" s="44">
        <f t="shared" si="98"/>
        <v>1.6893340349999999</v>
      </c>
      <c r="Z159" s="44">
        <f t="shared" si="99"/>
        <v>1.8315443036800001</v>
      </c>
      <c r="AA159" s="44">
        <f t="shared" si="100"/>
        <v>1.725543499</v>
      </c>
      <c r="AB159" s="44">
        <f t="shared" si="101"/>
        <v>1.1431822479</v>
      </c>
      <c r="AC159" s="44">
        <f t="shared" si="102"/>
        <v>1.97267757645</v>
      </c>
      <c r="AD159" s="44">
        <f t="shared" si="103"/>
        <v>1.791190743</v>
      </c>
      <c r="AF159" s="61" t="str">
        <f t="shared" si="113"/>
        <v>P21</v>
      </c>
      <c r="AG159" s="44">
        <f t="shared" si="114"/>
        <v>0.36911036876712328</v>
      </c>
      <c r="AH159" s="44">
        <f t="shared" si="104"/>
        <v>0.22642303821917809</v>
      </c>
      <c r="AI159" s="44">
        <f t="shared" si="105"/>
        <v>0.23141562123287671</v>
      </c>
      <c r="AJ159" s="44">
        <f t="shared" si="106"/>
        <v>0.25089647995616438</v>
      </c>
      <c r="AK159" s="44">
        <f t="shared" si="107"/>
        <v>0.33900658133595285</v>
      </c>
      <c r="AL159" s="44">
        <f t="shared" si="108"/>
        <v>0.22459376186640473</v>
      </c>
      <c r="AM159" s="44">
        <f t="shared" si="109"/>
        <v>0.49071581503731349</v>
      </c>
      <c r="AN159" s="44">
        <f t="shared" si="110"/>
        <v>0.44556983656716426</v>
      </c>
      <c r="AO159" s="44">
        <f t="shared" si="111"/>
        <v>0.29837354403961647</v>
      </c>
    </row>
    <row r="160" spans="1:41" ht="15.6" x14ac:dyDescent="0.25">
      <c r="A160" s="60"/>
      <c r="B160" s="62" t="s">
        <v>161</v>
      </c>
      <c r="C160" s="44">
        <v>1.472482085</v>
      </c>
      <c r="D160" s="44">
        <v>1.263370275</v>
      </c>
      <c r="E160" s="44">
        <v>0.59826171399999994</v>
      </c>
      <c r="F160" s="44">
        <v>1.421820402</v>
      </c>
      <c r="G160" s="44">
        <v>1.5453869099999999</v>
      </c>
      <c r="H160" s="44">
        <v>1.4896624089999999</v>
      </c>
      <c r="I160" s="44">
        <v>0.85792762040000003</v>
      </c>
      <c r="J160" s="44">
        <v>0.81769043210000003</v>
      </c>
      <c r="K160" s="44">
        <f t="shared" si="96"/>
        <v>1.1962250078026684</v>
      </c>
      <c r="L160" s="58"/>
      <c r="N160">
        <v>1</v>
      </c>
      <c r="O160">
        <v>1</v>
      </c>
      <c r="P160">
        <v>1</v>
      </c>
      <c r="Q160">
        <v>1.04</v>
      </c>
      <c r="R160">
        <v>1</v>
      </c>
      <c r="S160">
        <v>1.05</v>
      </c>
      <c r="T160">
        <v>1.05</v>
      </c>
      <c r="U160">
        <v>1</v>
      </c>
      <c r="W160" s="44">
        <f t="shared" si="112"/>
        <v>1.472482085</v>
      </c>
      <c r="X160" s="44">
        <f t="shared" si="97"/>
        <v>1.263370275</v>
      </c>
      <c r="Y160" s="44">
        <f t="shared" si="98"/>
        <v>0.59826171399999994</v>
      </c>
      <c r="Z160" s="44">
        <f t="shared" si="99"/>
        <v>1.4786932180800001</v>
      </c>
      <c r="AA160" s="44">
        <f t="shared" si="100"/>
        <v>1.5453869099999999</v>
      </c>
      <c r="AB160" s="44">
        <f t="shared" si="101"/>
        <v>1.56414552945</v>
      </c>
      <c r="AC160" s="44">
        <f t="shared" si="102"/>
        <v>0.90082400142000008</v>
      </c>
      <c r="AD160" s="44">
        <f t="shared" si="103"/>
        <v>0.81769043210000003</v>
      </c>
      <c r="AF160" s="61" t="str">
        <f t="shared" si="113"/>
        <v>P22</v>
      </c>
      <c r="AG160" s="44">
        <f t="shared" si="114"/>
        <v>0.20170987465753426</v>
      </c>
      <c r="AH160" s="44">
        <f t="shared" si="104"/>
        <v>0.17306442123287671</v>
      </c>
      <c r="AI160" s="44">
        <f t="shared" si="105"/>
        <v>8.1953659452054795E-2</v>
      </c>
      <c r="AJ160" s="44">
        <f t="shared" si="106"/>
        <v>0.20256071480547946</v>
      </c>
      <c r="AK160" s="44">
        <f t="shared" si="107"/>
        <v>0.30361235952848725</v>
      </c>
      <c r="AL160" s="44">
        <f t="shared" si="108"/>
        <v>0.30729774645383107</v>
      </c>
      <c r="AM160" s="44">
        <f t="shared" si="109"/>
        <v>0.22408557249253735</v>
      </c>
      <c r="AN160" s="44">
        <f t="shared" si="110"/>
        <v>0.20340558012437815</v>
      </c>
      <c r="AO160" s="44">
        <f t="shared" si="111"/>
        <v>0.20125649137728024</v>
      </c>
    </row>
    <row r="161" spans="1:42" ht="15.6" x14ac:dyDescent="0.25">
      <c r="A161" s="57"/>
      <c r="B161" s="61" t="s">
        <v>162</v>
      </c>
      <c r="C161" s="44">
        <v>0.93618482349999999</v>
      </c>
      <c r="D161" s="44">
        <v>1.0155892369999999</v>
      </c>
      <c r="E161" s="44">
        <v>0.66938906909999996</v>
      </c>
      <c r="F161" s="44">
        <v>1.1369533540000001</v>
      </c>
      <c r="G161" s="44">
        <v>0.80654746290000001</v>
      </c>
      <c r="H161" s="44">
        <v>0.92036205530000004</v>
      </c>
      <c r="I161" s="44">
        <v>1.072759628</v>
      </c>
      <c r="J161" s="44">
        <v>0.98177188630000001</v>
      </c>
      <c r="K161" s="44">
        <f t="shared" si="96"/>
        <v>0.9486183305082595</v>
      </c>
      <c r="L161" s="44"/>
      <c r="N161">
        <v>1</v>
      </c>
      <c r="O161">
        <v>1</v>
      </c>
      <c r="P161">
        <v>1</v>
      </c>
      <c r="Q161">
        <v>1.04</v>
      </c>
      <c r="R161">
        <v>1</v>
      </c>
      <c r="S161">
        <v>1.05</v>
      </c>
      <c r="T161">
        <v>1.05</v>
      </c>
      <c r="U161">
        <v>1</v>
      </c>
      <c r="W161" s="44">
        <f t="shared" si="112"/>
        <v>0.93618482349999999</v>
      </c>
      <c r="X161" s="44">
        <f t="shared" si="97"/>
        <v>1.0155892369999999</v>
      </c>
      <c r="Y161" s="44">
        <f t="shared" si="98"/>
        <v>0.66938906909999996</v>
      </c>
      <c r="Z161" s="44">
        <f t="shared" si="99"/>
        <v>1.1824314881600002</v>
      </c>
      <c r="AA161" s="44">
        <f t="shared" si="100"/>
        <v>0.80654746290000001</v>
      </c>
      <c r="AB161" s="44">
        <f t="shared" si="101"/>
        <v>0.96638015806500011</v>
      </c>
      <c r="AC161" s="44">
        <f t="shared" si="102"/>
        <v>1.1263976094000001</v>
      </c>
      <c r="AD161" s="44">
        <f t="shared" si="103"/>
        <v>0.98177188630000001</v>
      </c>
      <c r="AF161" s="61" t="str">
        <f t="shared" si="113"/>
        <v>P23</v>
      </c>
      <c r="AG161" s="44">
        <f t="shared" si="114"/>
        <v>0.12824449636986301</v>
      </c>
      <c r="AH161" s="44">
        <f t="shared" si="104"/>
        <v>0.13912181328767123</v>
      </c>
      <c r="AI161" s="44">
        <f t="shared" si="105"/>
        <v>9.1697132753424657E-2</v>
      </c>
      <c r="AJ161" s="44">
        <f t="shared" si="106"/>
        <v>0.16197691618630139</v>
      </c>
      <c r="AK161" s="44">
        <f t="shared" si="107"/>
        <v>0.15845726186640471</v>
      </c>
      <c r="AL161" s="44">
        <f t="shared" si="108"/>
        <v>0.18985857722298627</v>
      </c>
      <c r="AM161" s="44">
        <f t="shared" si="109"/>
        <v>0.28019841029850751</v>
      </c>
      <c r="AN161" s="44">
        <f t="shared" si="110"/>
        <v>0.24422186226368162</v>
      </c>
      <c r="AO161" s="44">
        <f t="shared" si="111"/>
        <v>0.16151363251318399</v>
      </c>
    </row>
    <row r="162" spans="1:42" ht="15.6" x14ac:dyDescent="0.25">
      <c r="A162" s="60"/>
      <c r="B162" s="62" t="s">
        <v>163</v>
      </c>
      <c r="C162" s="44">
        <v>1.6972249749999999</v>
      </c>
      <c r="D162" s="44">
        <v>1.6571830510000001</v>
      </c>
      <c r="E162" s="44">
        <v>0.85793685909999995</v>
      </c>
      <c r="F162" s="44">
        <v>1.7382651570000001</v>
      </c>
      <c r="G162" s="44">
        <v>0.76851212980000005</v>
      </c>
      <c r="H162" s="44">
        <v>0.63433390860000005</v>
      </c>
      <c r="I162" s="44">
        <v>1.137945414</v>
      </c>
      <c r="J162" s="44">
        <v>1.036407232</v>
      </c>
      <c r="K162" s="44">
        <f t="shared" si="96"/>
        <v>1.2596221624772554</v>
      </c>
      <c r="L162" s="58"/>
      <c r="N162">
        <v>1</v>
      </c>
      <c r="O162">
        <v>1</v>
      </c>
      <c r="P162">
        <v>1</v>
      </c>
      <c r="Q162">
        <v>1.04</v>
      </c>
      <c r="R162">
        <v>1</v>
      </c>
      <c r="S162">
        <v>1.05</v>
      </c>
      <c r="T162">
        <v>1.05</v>
      </c>
      <c r="U162">
        <v>1</v>
      </c>
      <c r="W162" s="44">
        <f t="shared" si="112"/>
        <v>1.6972249749999999</v>
      </c>
      <c r="X162" s="44">
        <f t="shared" si="97"/>
        <v>1.6571830510000001</v>
      </c>
      <c r="Y162" s="44">
        <f t="shared" si="98"/>
        <v>0.85793685909999995</v>
      </c>
      <c r="Z162" s="44">
        <f t="shared" si="99"/>
        <v>1.8077957632800001</v>
      </c>
      <c r="AA162" s="44">
        <f t="shared" si="100"/>
        <v>0.76851212980000005</v>
      </c>
      <c r="AB162" s="44">
        <f t="shared" si="101"/>
        <v>0.66605060403000005</v>
      </c>
      <c r="AC162" s="44">
        <f t="shared" si="102"/>
        <v>1.1948426847</v>
      </c>
      <c r="AD162" s="44">
        <f t="shared" si="103"/>
        <v>1.036407232</v>
      </c>
      <c r="AF162" s="61" t="str">
        <f t="shared" si="113"/>
        <v>P24</v>
      </c>
      <c r="AG162" s="44">
        <f t="shared" si="114"/>
        <v>0.2324965719178082</v>
      </c>
      <c r="AH162" s="44">
        <f t="shared" si="104"/>
        <v>0.22701137684931508</v>
      </c>
      <c r="AI162" s="44">
        <f t="shared" si="105"/>
        <v>0.11752559713698629</v>
      </c>
      <c r="AJ162" s="44">
        <f t="shared" si="106"/>
        <v>0.24764325524383565</v>
      </c>
      <c r="AK162" s="44">
        <f t="shared" si="107"/>
        <v>0.15098470133595288</v>
      </c>
      <c r="AL162" s="44">
        <f t="shared" si="108"/>
        <v>0.13085473556581534</v>
      </c>
      <c r="AM162" s="44">
        <f t="shared" si="109"/>
        <v>0.29722454843283586</v>
      </c>
      <c r="AN162" s="44">
        <f t="shared" si="110"/>
        <v>0.25781274427860701</v>
      </c>
      <c r="AO162" s="44">
        <f t="shared" si="111"/>
        <v>0.20450056963802796</v>
      </c>
    </row>
    <row r="163" spans="1:42" ht="15.6" x14ac:dyDescent="0.25">
      <c r="A163" s="57"/>
      <c r="B163" s="61" t="s">
        <v>164</v>
      </c>
      <c r="C163" s="44">
        <v>1.9519973989999999</v>
      </c>
      <c r="D163" s="44">
        <v>1.830987334</v>
      </c>
      <c r="E163" s="44">
        <v>0.92262464759999996</v>
      </c>
      <c r="F163" s="44">
        <v>1.99762094</v>
      </c>
      <c r="G163" s="44">
        <v>0.82685440779999997</v>
      </c>
      <c r="H163" s="44">
        <v>0.39648491139999997</v>
      </c>
      <c r="I163" s="44">
        <v>1.428874135</v>
      </c>
      <c r="J163" s="44">
        <v>1.331314087</v>
      </c>
      <c r="K163" s="44">
        <f t="shared" si="96"/>
        <v>1.4190486759339265</v>
      </c>
      <c r="L163" s="44"/>
      <c r="N163">
        <v>1</v>
      </c>
      <c r="O163">
        <v>1</v>
      </c>
      <c r="P163">
        <v>1</v>
      </c>
      <c r="Q163">
        <v>1.04</v>
      </c>
      <c r="R163">
        <v>1</v>
      </c>
      <c r="S163">
        <v>1.05</v>
      </c>
      <c r="T163">
        <v>1.05</v>
      </c>
      <c r="U163">
        <v>1</v>
      </c>
      <c r="W163" s="44">
        <f t="shared" si="112"/>
        <v>1.9519973989999999</v>
      </c>
      <c r="X163" s="44">
        <f t="shared" si="97"/>
        <v>1.830987334</v>
      </c>
      <c r="Y163" s="44">
        <f t="shared" si="98"/>
        <v>0.92262464759999996</v>
      </c>
      <c r="Z163" s="44">
        <f t="shared" si="99"/>
        <v>2.0775257776</v>
      </c>
      <c r="AA163" s="44">
        <f t="shared" si="100"/>
        <v>0.82685440779999997</v>
      </c>
      <c r="AB163" s="44">
        <f t="shared" si="101"/>
        <v>0.41630915696999998</v>
      </c>
      <c r="AC163" s="44">
        <f t="shared" si="102"/>
        <v>1.50031784175</v>
      </c>
      <c r="AD163" s="44">
        <f t="shared" si="103"/>
        <v>1.331314087</v>
      </c>
      <c r="AF163" s="61" t="str">
        <f t="shared" si="113"/>
        <v>P25</v>
      </c>
      <c r="AG163" s="44">
        <f t="shared" si="114"/>
        <v>0.26739690397260274</v>
      </c>
      <c r="AH163" s="44">
        <f t="shared" si="104"/>
        <v>0.25082018273972606</v>
      </c>
      <c r="AI163" s="44">
        <f t="shared" si="105"/>
        <v>0.12638693802739726</v>
      </c>
      <c r="AJ163" s="44">
        <f t="shared" si="106"/>
        <v>0.28459257227397261</v>
      </c>
      <c r="AK163" s="44">
        <f t="shared" si="107"/>
        <v>0.16244683846758348</v>
      </c>
      <c r="AL163" s="44">
        <f t="shared" si="108"/>
        <v>8.1789618265225933E-2</v>
      </c>
      <c r="AM163" s="44">
        <f t="shared" si="109"/>
        <v>0.37321339347014931</v>
      </c>
      <c r="AN163" s="44">
        <f t="shared" si="110"/>
        <v>0.33117265845771149</v>
      </c>
      <c r="AO163" s="44">
        <f t="shared" si="111"/>
        <v>0.23144334332673494</v>
      </c>
    </row>
    <row r="164" spans="1:42" ht="15.6" x14ac:dyDescent="0.25">
      <c r="A164" s="60"/>
      <c r="B164" s="62" t="s">
        <v>165</v>
      </c>
      <c r="C164" s="44">
        <v>2.098466873</v>
      </c>
      <c r="D164" s="44">
        <v>1.925074935</v>
      </c>
      <c r="E164" s="44">
        <v>0.90468454359999995</v>
      </c>
      <c r="F164" s="44">
        <v>1.9851891989999999</v>
      </c>
      <c r="G164" s="44">
        <v>0.80992001300000005</v>
      </c>
      <c r="H164" s="44">
        <v>0.3011593521</v>
      </c>
      <c r="I164" s="44">
        <v>1.8998230700000001</v>
      </c>
      <c r="J164" s="44">
        <v>1.7721476549999999</v>
      </c>
      <c r="K164" s="44">
        <f t="shared" si="96"/>
        <v>1.4940837220855145</v>
      </c>
      <c r="L164" s="58"/>
      <c r="N164">
        <v>1</v>
      </c>
      <c r="O164">
        <v>1</v>
      </c>
      <c r="P164">
        <v>1</v>
      </c>
      <c r="Q164">
        <v>1.04</v>
      </c>
      <c r="R164">
        <v>1</v>
      </c>
      <c r="S164">
        <v>1.05</v>
      </c>
      <c r="T164">
        <v>1.05</v>
      </c>
      <c r="U164">
        <v>1</v>
      </c>
      <c r="W164" s="44">
        <f t="shared" si="112"/>
        <v>2.098466873</v>
      </c>
      <c r="X164" s="44">
        <f t="shared" si="97"/>
        <v>1.925074935</v>
      </c>
      <c r="Y164" s="44">
        <f t="shared" si="98"/>
        <v>0.90468454359999995</v>
      </c>
      <c r="Z164" s="44">
        <f t="shared" si="99"/>
        <v>2.0645967669599998</v>
      </c>
      <c r="AA164" s="44">
        <f t="shared" si="100"/>
        <v>0.80992001300000005</v>
      </c>
      <c r="AB164" s="44">
        <f t="shared" si="101"/>
        <v>0.316217319705</v>
      </c>
      <c r="AC164" s="44">
        <f t="shared" si="102"/>
        <v>1.9948142235000001</v>
      </c>
      <c r="AD164" s="44">
        <f t="shared" si="103"/>
        <v>1.7721476549999999</v>
      </c>
      <c r="AF164" s="61" t="str">
        <f t="shared" si="113"/>
        <v>P26</v>
      </c>
      <c r="AG164" s="44">
        <f t="shared" si="114"/>
        <v>0.28746121547945208</v>
      </c>
      <c r="AH164" s="44">
        <f t="shared" si="104"/>
        <v>0.26370889520547947</v>
      </c>
      <c r="AI164" s="44">
        <f t="shared" si="105"/>
        <v>0.12392938953424656</v>
      </c>
      <c r="AJ164" s="44">
        <f t="shared" si="106"/>
        <v>0.28282147492602738</v>
      </c>
      <c r="AK164" s="44">
        <f t="shared" si="107"/>
        <v>0.15911984538310414</v>
      </c>
      <c r="AL164" s="44">
        <f t="shared" si="108"/>
        <v>6.2125210158153241E-2</v>
      </c>
      <c r="AM164" s="44">
        <f t="shared" si="109"/>
        <v>0.49622244365671653</v>
      </c>
      <c r="AN164" s="44">
        <f t="shared" si="110"/>
        <v>0.44083275000000005</v>
      </c>
      <c r="AO164" s="44">
        <f t="shared" si="111"/>
        <v>0.24941781360309642</v>
      </c>
    </row>
    <row r="165" spans="1:42" ht="15.6" x14ac:dyDescent="0.25">
      <c r="A165" s="57"/>
      <c r="B165" s="61" t="s">
        <v>166</v>
      </c>
      <c r="C165" s="44">
        <v>2.1007878780000002</v>
      </c>
      <c r="D165" s="44">
        <v>1.9355484249999999</v>
      </c>
      <c r="E165" s="44">
        <v>0.91455364230000002</v>
      </c>
      <c r="F165" s="44">
        <v>1.1351704600000001</v>
      </c>
      <c r="G165" s="44">
        <v>1.2265516519999999</v>
      </c>
      <c r="H165" s="44">
        <v>0.69670850039999999</v>
      </c>
      <c r="I165" s="44">
        <v>2.7655763630000001</v>
      </c>
      <c r="J165" s="44">
        <v>2.607450724</v>
      </c>
      <c r="K165" s="44">
        <f t="shared" si="96"/>
        <v>1.4702397908452352</v>
      </c>
      <c r="L165" s="44"/>
      <c r="N165">
        <v>1</v>
      </c>
      <c r="O165">
        <v>1</v>
      </c>
      <c r="P165">
        <v>1</v>
      </c>
      <c r="Q165">
        <v>1.04</v>
      </c>
      <c r="R165">
        <v>1</v>
      </c>
      <c r="S165">
        <v>1.05</v>
      </c>
      <c r="T165">
        <v>1.05</v>
      </c>
      <c r="U165">
        <v>1</v>
      </c>
      <c r="W165" s="44">
        <f t="shared" si="112"/>
        <v>2.1007878780000002</v>
      </c>
      <c r="X165" s="44">
        <f t="shared" si="97"/>
        <v>1.9355484249999999</v>
      </c>
      <c r="Y165" s="44">
        <f t="shared" si="98"/>
        <v>0.91455364230000002</v>
      </c>
      <c r="Z165" s="44">
        <f t="shared" si="99"/>
        <v>1.1805772784000002</v>
      </c>
      <c r="AA165" s="44">
        <f t="shared" si="100"/>
        <v>1.2265516519999999</v>
      </c>
      <c r="AB165" s="44">
        <f t="shared" si="101"/>
        <v>0.73154392542000002</v>
      </c>
      <c r="AC165" s="44">
        <f t="shared" si="102"/>
        <v>2.9038551811500004</v>
      </c>
      <c r="AD165" s="44">
        <f t="shared" si="103"/>
        <v>2.607450724</v>
      </c>
      <c r="AF165" s="61" t="str">
        <f t="shared" si="113"/>
        <v>P27</v>
      </c>
      <c r="AG165" s="44">
        <f t="shared" si="114"/>
        <v>0.28777916136986303</v>
      </c>
      <c r="AH165" s="44">
        <f t="shared" si="104"/>
        <v>0.26514361986301371</v>
      </c>
      <c r="AI165" s="44">
        <f t="shared" si="105"/>
        <v>0.12528132086301372</v>
      </c>
      <c r="AJ165" s="44">
        <f t="shared" si="106"/>
        <v>0.16172291484931509</v>
      </c>
      <c r="AK165" s="44">
        <f t="shared" si="107"/>
        <v>0.24097281964636541</v>
      </c>
      <c r="AL165" s="44">
        <f t="shared" si="108"/>
        <v>0.14372179281335953</v>
      </c>
      <c r="AM165" s="44">
        <f t="shared" si="109"/>
        <v>0.72235203511194046</v>
      </c>
      <c r="AN165" s="44">
        <f t="shared" si="110"/>
        <v>0.64861958308457723</v>
      </c>
      <c r="AO165" s="44">
        <f t="shared" si="111"/>
        <v>0.26563164459193583</v>
      </c>
    </row>
    <row r="166" spans="1:42" ht="15.6" x14ac:dyDescent="0.25">
      <c r="A166" s="60"/>
      <c r="B166" s="62" t="s">
        <v>167</v>
      </c>
      <c r="C166" s="44">
        <v>1.2269634009999999</v>
      </c>
      <c r="D166" s="44">
        <v>1.1296128030000001</v>
      </c>
      <c r="E166" s="44">
        <v>0.44272720809999999</v>
      </c>
      <c r="F166" s="44">
        <v>0.59617853160000001</v>
      </c>
      <c r="G166" s="44">
        <v>0.81322360039999997</v>
      </c>
      <c r="H166" s="44">
        <v>0.29047137499999998</v>
      </c>
      <c r="I166" s="44">
        <v>0.5794888735</v>
      </c>
      <c r="J166" s="44">
        <v>0.44343757630000002</v>
      </c>
      <c r="K166" s="44">
        <f t="shared" si="96"/>
        <v>0.66654542428348162</v>
      </c>
      <c r="L166" s="58"/>
      <c r="N166">
        <v>1</v>
      </c>
      <c r="O166">
        <v>1</v>
      </c>
      <c r="P166">
        <v>1</v>
      </c>
      <c r="Q166">
        <v>1.04</v>
      </c>
      <c r="R166">
        <v>1</v>
      </c>
      <c r="S166">
        <v>1.05</v>
      </c>
      <c r="T166">
        <v>1.05</v>
      </c>
      <c r="U166">
        <v>1</v>
      </c>
      <c r="W166" s="44">
        <f t="shared" si="112"/>
        <v>1.2269634009999999</v>
      </c>
      <c r="X166" s="44">
        <f t="shared" si="97"/>
        <v>1.1296128030000001</v>
      </c>
      <c r="Y166" s="44">
        <f t="shared" si="98"/>
        <v>0.44272720809999999</v>
      </c>
      <c r="Z166" s="44">
        <f t="shared" si="99"/>
        <v>0.62002567286400001</v>
      </c>
      <c r="AA166" s="44">
        <f t="shared" si="100"/>
        <v>0.81322360039999997</v>
      </c>
      <c r="AB166" s="44">
        <f t="shared" si="101"/>
        <v>0.30499494374999997</v>
      </c>
      <c r="AC166" s="44">
        <f t="shared" si="102"/>
        <v>0.60846331717500002</v>
      </c>
      <c r="AD166" s="44">
        <f t="shared" si="103"/>
        <v>0.44343757630000002</v>
      </c>
      <c r="AF166" s="61" t="str">
        <f t="shared" si="113"/>
        <v>P28</v>
      </c>
      <c r="AG166" s="44">
        <f t="shared" si="114"/>
        <v>0.16807717821917809</v>
      </c>
      <c r="AH166" s="44">
        <f t="shared" si="104"/>
        <v>0.15474147986301373</v>
      </c>
      <c r="AI166" s="44">
        <f t="shared" si="105"/>
        <v>6.0647562753424658E-2</v>
      </c>
      <c r="AJ166" s="44">
        <f t="shared" si="106"/>
        <v>8.4935023679999999E-2</v>
      </c>
      <c r="AK166" s="44">
        <f t="shared" si="107"/>
        <v>0.15976888023575639</v>
      </c>
      <c r="AL166" s="44">
        <f t="shared" si="108"/>
        <v>5.9920421168958737E-2</v>
      </c>
      <c r="AM166" s="44">
        <f t="shared" si="109"/>
        <v>0.15135903412313434</v>
      </c>
      <c r="AN166" s="44">
        <f t="shared" si="110"/>
        <v>0.11030785480099504</v>
      </c>
      <c r="AO166" s="44">
        <f t="shared" si="111"/>
        <v>0.10980514743513999</v>
      </c>
    </row>
    <row r="167" spans="1:42" ht="15.6" x14ac:dyDescent="0.25">
      <c r="A167" s="57"/>
      <c r="B167" s="61" t="s">
        <v>168</v>
      </c>
      <c r="C167" s="44">
        <v>1.195266366</v>
      </c>
      <c r="D167" s="44">
        <v>0.54336965079999999</v>
      </c>
      <c r="E167" s="44">
        <v>0.18374194199999999</v>
      </c>
      <c r="F167" s="44">
        <v>1.499311686</v>
      </c>
      <c r="G167" s="44">
        <v>0.63125544789999999</v>
      </c>
      <c r="H167" s="44">
        <v>0.79131245610000001</v>
      </c>
      <c r="I167" s="44">
        <v>0.78576922419999995</v>
      </c>
      <c r="J167" s="44">
        <v>0.860761106</v>
      </c>
      <c r="K167" s="44">
        <f t="shared" si="96"/>
        <v>0.87520693146302431</v>
      </c>
      <c r="L167" s="44"/>
      <c r="N167">
        <v>1</v>
      </c>
      <c r="O167">
        <v>1</v>
      </c>
      <c r="P167">
        <v>1</v>
      </c>
      <c r="Q167">
        <v>1.04</v>
      </c>
      <c r="R167">
        <v>1</v>
      </c>
      <c r="S167">
        <v>1.05</v>
      </c>
      <c r="T167">
        <v>1.05</v>
      </c>
      <c r="U167">
        <v>1</v>
      </c>
      <c r="W167" s="44">
        <f t="shared" si="112"/>
        <v>1.195266366</v>
      </c>
      <c r="X167" s="44">
        <f t="shared" si="97"/>
        <v>0.54336965079999999</v>
      </c>
      <c r="Y167" s="44">
        <f t="shared" si="98"/>
        <v>0.18374194199999999</v>
      </c>
      <c r="Z167" s="44">
        <f t="shared" si="99"/>
        <v>1.5592841534399999</v>
      </c>
      <c r="AA167" s="44">
        <f t="shared" si="100"/>
        <v>0.63125544789999999</v>
      </c>
      <c r="AB167" s="44">
        <f t="shared" si="101"/>
        <v>0.83087807890500009</v>
      </c>
      <c r="AC167" s="44">
        <f t="shared" si="102"/>
        <v>0.82505768541000002</v>
      </c>
      <c r="AD167" s="44">
        <f t="shared" si="103"/>
        <v>0.860761106</v>
      </c>
      <c r="AF167" s="61" t="str">
        <f t="shared" si="113"/>
        <v>P29</v>
      </c>
      <c r="AG167" s="44">
        <f t="shared" si="114"/>
        <v>0.16373511863013698</v>
      </c>
      <c r="AH167" s="44">
        <f t="shared" si="104"/>
        <v>7.4434198739726024E-2</v>
      </c>
      <c r="AI167" s="44">
        <f t="shared" si="105"/>
        <v>2.517012904109589E-2</v>
      </c>
      <c r="AJ167" s="44">
        <f t="shared" si="106"/>
        <v>0.21360056896438356</v>
      </c>
      <c r="AK167" s="44">
        <f t="shared" si="107"/>
        <v>0.12401875204322201</v>
      </c>
      <c r="AL167" s="44">
        <f t="shared" si="108"/>
        <v>0.16323734359626721</v>
      </c>
      <c r="AM167" s="44">
        <f t="shared" si="109"/>
        <v>0.20523823020149257</v>
      </c>
      <c r="AN167" s="44">
        <f t="shared" si="110"/>
        <v>0.21411967810945276</v>
      </c>
      <c r="AO167" s="44">
        <f t="shared" si="111"/>
        <v>0.14612996110768403</v>
      </c>
    </row>
    <row r="168" spans="1:42" ht="15.6" x14ac:dyDescent="0.25">
      <c r="A168" s="60"/>
      <c r="B168" s="62" t="s">
        <v>169</v>
      </c>
      <c r="C168" s="44">
        <v>0.45935374499999998</v>
      </c>
      <c r="D168" s="44">
        <v>1.4961435789999999</v>
      </c>
      <c r="E168" s="44">
        <v>0.5299026966</v>
      </c>
      <c r="F168" s="44">
        <v>1.4006034140000001</v>
      </c>
      <c r="G168" s="44">
        <v>0.6739388704</v>
      </c>
      <c r="H168" s="44">
        <v>0.88830125329999998</v>
      </c>
      <c r="I168" s="44">
        <v>0.74810820820000001</v>
      </c>
      <c r="J168" s="44">
        <v>0.56749147180000004</v>
      </c>
      <c r="K168" s="44">
        <f t="shared" si="96"/>
        <v>0.93113281182579433</v>
      </c>
      <c r="L168" s="58"/>
      <c r="N168">
        <v>1</v>
      </c>
      <c r="O168">
        <v>1</v>
      </c>
      <c r="P168">
        <v>1</v>
      </c>
      <c r="Q168">
        <v>1.04</v>
      </c>
      <c r="R168">
        <v>1</v>
      </c>
      <c r="S168">
        <v>1.05</v>
      </c>
      <c r="T168">
        <v>1.05</v>
      </c>
      <c r="U168">
        <v>1</v>
      </c>
      <c r="W168" s="44">
        <f t="shared" si="112"/>
        <v>0.45935374499999998</v>
      </c>
      <c r="X168" s="44">
        <f t="shared" si="97"/>
        <v>1.4961435789999999</v>
      </c>
      <c r="Y168" s="44">
        <f t="shared" si="98"/>
        <v>0.5299026966</v>
      </c>
      <c r="Z168" s="44">
        <f t="shared" si="99"/>
        <v>1.4566275505600002</v>
      </c>
      <c r="AA168" s="44">
        <f t="shared" si="100"/>
        <v>0.6739388704</v>
      </c>
      <c r="AB168" s="44">
        <f t="shared" si="101"/>
        <v>0.93271631596500004</v>
      </c>
      <c r="AC168" s="44">
        <f t="shared" si="102"/>
        <v>0.78551361861000002</v>
      </c>
      <c r="AD168" s="44">
        <f t="shared" si="103"/>
        <v>0.56749147180000004</v>
      </c>
      <c r="AF168" s="61" t="str">
        <f t="shared" si="113"/>
        <v>P30</v>
      </c>
      <c r="AG168" s="44">
        <f t="shared" si="114"/>
        <v>6.2925170547945206E-2</v>
      </c>
      <c r="AH168" s="44">
        <f t="shared" si="104"/>
        <v>0.20495117520547945</v>
      </c>
      <c r="AI168" s="44">
        <f t="shared" si="105"/>
        <v>7.258941049315068E-2</v>
      </c>
      <c r="AJ168" s="44">
        <f t="shared" si="106"/>
        <v>0.19953802062465756</v>
      </c>
      <c r="AK168" s="44">
        <f t="shared" si="107"/>
        <v>0.13240449320235756</v>
      </c>
      <c r="AL168" s="44">
        <f t="shared" si="108"/>
        <v>0.18324485578880159</v>
      </c>
      <c r="AM168" s="44">
        <f t="shared" si="109"/>
        <v>0.19540139766417913</v>
      </c>
      <c r="AN168" s="44">
        <f t="shared" si="110"/>
        <v>0.14116703278606968</v>
      </c>
      <c r="AO168" s="44">
        <f t="shared" si="111"/>
        <v>0.15162123827249754</v>
      </c>
    </row>
    <row r="169" spans="1:42" ht="15.6" x14ac:dyDescent="0.25">
      <c r="A169" s="57"/>
      <c r="B169" s="61" t="s">
        <v>170</v>
      </c>
      <c r="C169" s="44">
        <v>0.84133434299999998</v>
      </c>
      <c r="D169" s="44">
        <v>2.1004748339999999</v>
      </c>
      <c r="E169" s="44">
        <v>1.3638021950000001</v>
      </c>
      <c r="F169" s="44">
        <v>1.546337485</v>
      </c>
      <c r="G169" s="44">
        <v>0.55436140300000003</v>
      </c>
      <c r="H169" s="44">
        <v>0.59481614829999996</v>
      </c>
      <c r="I169" s="44">
        <v>0.71350073810000003</v>
      </c>
      <c r="J169" s="44">
        <v>0.71271896359999998</v>
      </c>
      <c r="K169" s="44">
        <f t="shared" si="96"/>
        <v>1.1806385767973318</v>
      </c>
      <c r="L169" s="44"/>
      <c r="N169">
        <v>1</v>
      </c>
      <c r="O169">
        <v>1</v>
      </c>
      <c r="P169">
        <v>1</v>
      </c>
      <c r="Q169">
        <v>1.04</v>
      </c>
      <c r="R169">
        <v>1</v>
      </c>
      <c r="S169">
        <v>1.05</v>
      </c>
      <c r="T169">
        <v>1.05</v>
      </c>
      <c r="U169">
        <v>1</v>
      </c>
      <c r="W169" s="44">
        <f t="shared" si="112"/>
        <v>0.84133434299999998</v>
      </c>
      <c r="X169" s="44">
        <f t="shared" si="97"/>
        <v>2.1004748339999999</v>
      </c>
      <c r="Y169" s="44">
        <f t="shared" si="98"/>
        <v>1.3638021950000001</v>
      </c>
      <c r="Z169" s="44">
        <f t="shared" si="99"/>
        <v>1.6081909844</v>
      </c>
      <c r="AA169" s="44">
        <f t="shared" si="100"/>
        <v>0.55436140300000003</v>
      </c>
      <c r="AB169" s="44">
        <f t="shared" si="101"/>
        <v>0.62455695571500003</v>
      </c>
      <c r="AC169" s="44">
        <f t="shared" si="102"/>
        <v>0.7491757750050001</v>
      </c>
      <c r="AD169" s="44">
        <f t="shared" si="103"/>
        <v>0.71271896359999998</v>
      </c>
      <c r="AF169" s="61" t="str">
        <f t="shared" si="113"/>
        <v>P31</v>
      </c>
      <c r="AG169" s="44">
        <f t="shared" si="114"/>
        <v>0.1152512798630137</v>
      </c>
      <c r="AH169" s="44">
        <f t="shared" si="104"/>
        <v>0.28773627863013695</v>
      </c>
      <c r="AI169" s="44">
        <f t="shared" si="105"/>
        <v>0.1868222184931507</v>
      </c>
      <c r="AJ169" s="44">
        <f t="shared" si="106"/>
        <v>0.22030013484931507</v>
      </c>
      <c r="AK169" s="44">
        <f t="shared" si="107"/>
        <v>0.1089118669941061</v>
      </c>
      <c r="AL169" s="44">
        <f t="shared" si="108"/>
        <v>0.12270274179076622</v>
      </c>
      <c r="AM169" s="44">
        <f t="shared" si="109"/>
        <v>0.18636213308582095</v>
      </c>
      <c r="AN169" s="44">
        <f t="shared" si="110"/>
        <v>0.17729327452736321</v>
      </c>
      <c r="AO169" s="44">
        <f t="shared" si="111"/>
        <v>0.18453385537149045</v>
      </c>
    </row>
    <row r="170" spans="1:42" ht="15.6" x14ac:dyDescent="0.25">
      <c r="A170" s="60"/>
      <c r="B170" s="62" t="s">
        <v>171</v>
      </c>
      <c r="C170" s="44">
        <v>1.443113208</v>
      </c>
      <c r="D170" s="44">
        <v>2.1768414969999998</v>
      </c>
      <c r="E170" s="44">
        <v>1.3660051820000001</v>
      </c>
      <c r="F170" s="44">
        <v>0.80009585620000001</v>
      </c>
      <c r="G170" s="44">
        <v>0.69440495970000005</v>
      </c>
      <c r="H170" s="44">
        <v>0.61517953869999997</v>
      </c>
      <c r="I170" s="44">
        <v>0.65441274640000002</v>
      </c>
      <c r="J170" s="44">
        <v>0.84699219469999998</v>
      </c>
      <c r="K170" s="44">
        <f t="shared" si="96"/>
        <v>1.0482360208728081</v>
      </c>
      <c r="L170" s="58"/>
      <c r="N170">
        <v>1</v>
      </c>
      <c r="O170">
        <v>1</v>
      </c>
      <c r="P170">
        <v>1</v>
      </c>
      <c r="Q170">
        <v>1.04</v>
      </c>
      <c r="R170">
        <v>1</v>
      </c>
      <c r="S170">
        <v>1.05</v>
      </c>
      <c r="T170">
        <v>1.05</v>
      </c>
      <c r="U170">
        <v>1</v>
      </c>
      <c r="W170" s="44">
        <f t="shared" si="112"/>
        <v>1.443113208</v>
      </c>
      <c r="X170" s="44">
        <f t="shared" si="97"/>
        <v>2.1768414969999998</v>
      </c>
      <c r="Y170" s="44">
        <f t="shared" si="98"/>
        <v>1.3660051820000001</v>
      </c>
      <c r="Z170" s="44">
        <f t="shared" si="99"/>
        <v>0.83209969044800003</v>
      </c>
      <c r="AA170" s="44">
        <f t="shared" si="100"/>
        <v>0.69440495970000005</v>
      </c>
      <c r="AB170" s="44">
        <f t="shared" si="101"/>
        <v>0.64593851563500004</v>
      </c>
      <c r="AC170" s="44">
        <f t="shared" si="102"/>
        <v>0.6871333837200001</v>
      </c>
      <c r="AD170" s="44">
        <f t="shared" si="103"/>
        <v>0.84699219469999998</v>
      </c>
      <c r="AF170" s="61" t="str">
        <f t="shared" si="113"/>
        <v>P32</v>
      </c>
      <c r="AG170" s="44">
        <f t="shared" si="114"/>
        <v>0.19768674082191781</v>
      </c>
      <c r="AH170" s="44">
        <f t="shared" si="104"/>
        <v>0.29819746534246572</v>
      </c>
      <c r="AI170" s="44">
        <f t="shared" si="105"/>
        <v>0.18712399753424661</v>
      </c>
      <c r="AJ170" s="44">
        <f t="shared" si="106"/>
        <v>0.11398625896547945</v>
      </c>
      <c r="AK170" s="44">
        <f t="shared" si="107"/>
        <v>0.13642533589390965</v>
      </c>
      <c r="AL170" s="44">
        <f t="shared" si="108"/>
        <v>0.12690344118565816</v>
      </c>
      <c r="AM170" s="44">
        <f t="shared" si="109"/>
        <v>0.1709287024179105</v>
      </c>
      <c r="AN170" s="44">
        <f t="shared" si="110"/>
        <v>0.21069457579601991</v>
      </c>
      <c r="AO170" s="44">
        <f t="shared" si="111"/>
        <v>0.16704424481211091</v>
      </c>
    </row>
    <row r="171" spans="1:42" ht="15.6" x14ac:dyDescent="0.25">
      <c r="A171" s="57"/>
      <c r="B171" s="61" t="s">
        <v>172</v>
      </c>
      <c r="C171" s="44">
        <v>2.3940584660000002</v>
      </c>
      <c r="D171" s="44">
        <v>2.9280405040000002</v>
      </c>
      <c r="E171" s="44">
        <v>1.809494734</v>
      </c>
      <c r="F171" s="44">
        <v>2.4742546079999999</v>
      </c>
      <c r="G171" s="44">
        <v>0.53093254570000004</v>
      </c>
      <c r="H171" s="44">
        <v>0.37247154119999998</v>
      </c>
      <c r="I171" s="44">
        <v>1.9067461489999999</v>
      </c>
      <c r="J171" s="44">
        <v>1.750069976</v>
      </c>
      <c r="K171" s="44">
        <f t="shared" si="96"/>
        <v>1.8789734286763664</v>
      </c>
      <c r="L171" s="44"/>
      <c r="N171">
        <v>1</v>
      </c>
      <c r="O171">
        <v>1</v>
      </c>
      <c r="P171">
        <v>1</v>
      </c>
      <c r="Q171">
        <v>1.04</v>
      </c>
      <c r="R171">
        <v>1</v>
      </c>
      <c r="S171">
        <v>1.05</v>
      </c>
      <c r="T171">
        <v>1.05</v>
      </c>
      <c r="U171">
        <v>1</v>
      </c>
      <c r="W171" s="44">
        <f t="shared" si="112"/>
        <v>2.3940584660000002</v>
      </c>
      <c r="X171" s="44">
        <f t="shared" si="97"/>
        <v>2.9280405040000002</v>
      </c>
      <c r="Y171" s="44">
        <f t="shared" si="98"/>
        <v>1.809494734</v>
      </c>
      <c r="Z171" s="44">
        <f t="shared" si="99"/>
        <v>2.57322479232</v>
      </c>
      <c r="AA171" s="44">
        <f t="shared" si="100"/>
        <v>0.53093254570000004</v>
      </c>
      <c r="AB171" s="44">
        <f t="shared" si="101"/>
        <v>0.39109511825999999</v>
      </c>
      <c r="AC171" s="44">
        <f t="shared" si="102"/>
        <v>2.0020834564499999</v>
      </c>
      <c r="AD171" s="44">
        <f t="shared" si="103"/>
        <v>1.750069976</v>
      </c>
      <c r="AF171" s="61" t="str">
        <f t="shared" si="113"/>
        <v>P33</v>
      </c>
      <c r="AG171" s="44">
        <f t="shared" si="114"/>
        <v>0.32795321452054799</v>
      </c>
      <c r="AH171" s="44">
        <f t="shared" si="104"/>
        <v>0.4011014389041096</v>
      </c>
      <c r="AI171" s="44">
        <f t="shared" si="105"/>
        <v>0.24787599095890411</v>
      </c>
      <c r="AJ171" s="44">
        <f t="shared" si="106"/>
        <v>0.35249654689315069</v>
      </c>
      <c r="AK171" s="44">
        <f t="shared" si="107"/>
        <v>0.1043089480746562</v>
      </c>
      <c r="AL171" s="44">
        <f t="shared" si="108"/>
        <v>7.6835976082514731E-2</v>
      </c>
      <c r="AM171" s="44">
        <f t="shared" si="109"/>
        <v>0.49803071055970149</v>
      </c>
      <c r="AN171" s="44">
        <f t="shared" si="110"/>
        <v>0.43534079004975129</v>
      </c>
      <c r="AO171" s="44">
        <f t="shared" si="111"/>
        <v>0.30078377111050597</v>
      </c>
    </row>
    <row r="172" spans="1:42" ht="15.6" x14ac:dyDescent="0.25">
      <c r="A172" s="60"/>
      <c r="B172" s="62" t="s">
        <v>173</v>
      </c>
      <c r="C172" s="44">
        <v>2.7896275519999998</v>
      </c>
      <c r="D172" s="44">
        <v>3.1609950069999999</v>
      </c>
      <c r="E172" s="44">
        <v>1.9189351800000001</v>
      </c>
      <c r="F172" s="44">
        <v>3.2903616429999998</v>
      </c>
      <c r="G172" s="44">
        <v>1.0555468800000001</v>
      </c>
      <c r="H172" s="44">
        <v>0.93034154179999995</v>
      </c>
      <c r="I172" s="44">
        <v>2.0058388709999999</v>
      </c>
      <c r="J172" s="44">
        <v>1.735122085</v>
      </c>
      <c r="K172" s="44">
        <f t="shared" si="96"/>
        <v>2.3031679980831008</v>
      </c>
      <c r="L172" s="58"/>
      <c r="N172">
        <v>1</v>
      </c>
      <c r="O172">
        <v>1</v>
      </c>
      <c r="P172">
        <v>1</v>
      </c>
      <c r="Q172">
        <v>1.04</v>
      </c>
      <c r="R172">
        <v>1</v>
      </c>
      <c r="S172">
        <v>1.05</v>
      </c>
      <c r="T172">
        <v>1.05</v>
      </c>
      <c r="U172">
        <v>1</v>
      </c>
      <c r="W172" s="44">
        <f t="shared" si="112"/>
        <v>2.7896275519999998</v>
      </c>
      <c r="X172" s="44">
        <f t="shared" si="97"/>
        <v>3.1609950069999999</v>
      </c>
      <c r="Y172" s="44">
        <f t="shared" si="98"/>
        <v>1.9189351800000001</v>
      </c>
      <c r="Z172" s="44">
        <f t="shared" si="99"/>
        <v>3.42197610872</v>
      </c>
      <c r="AA172" s="44">
        <f t="shared" si="100"/>
        <v>1.0555468800000001</v>
      </c>
      <c r="AB172" s="44">
        <f t="shared" si="101"/>
        <v>0.97685861889000003</v>
      </c>
      <c r="AC172" s="44">
        <f t="shared" si="102"/>
        <v>2.1061308145500002</v>
      </c>
      <c r="AD172" s="44">
        <f t="shared" si="103"/>
        <v>1.735122085</v>
      </c>
      <c r="AF172" s="61" t="str">
        <f t="shared" si="113"/>
        <v>P34</v>
      </c>
      <c r="AG172" s="44">
        <f t="shared" si="114"/>
        <v>0.38214076054794521</v>
      </c>
      <c r="AH172" s="44">
        <f t="shared" si="104"/>
        <v>0.43301301465753422</v>
      </c>
      <c r="AI172" s="44">
        <f t="shared" si="105"/>
        <v>0.26286783287671234</v>
      </c>
      <c r="AJ172" s="44">
        <f t="shared" si="106"/>
        <v>0.46876385050958908</v>
      </c>
      <c r="AK172" s="44">
        <f t="shared" si="107"/>
        <v>0.20737659724950885</v>
      </c>
      <c r="AL172" s="44">
        <f t="shared" si="108"/>
        <v>0.19191721392730846</v>
      </c>
      <c r="AM172" s="44">
        <f t="shared" si="109"/>
        <v>0.52391313794776129</v>
      </c>
      <c r="AN172" s="44">
        <f t="shared" si="110"/>
        <v>0.43162240920398015</v>
      </c>
      <c r="AO172" s="44">
        <f t="shared" si="111"/>
        <v>0.36801993621783152</v>
      </c>
    </row>
    <row r="173" spans="1:42" ht="15.6" x14ac:dyDescent="0.25">
      <c r="A173" s="57"/>
      <c r="B173" s="61" t="s">
        <v>174</v>
      </c>
      <c r="C173" s="44">
        <v>3.223468065</v>
      </c>
      <c r="D173" s="44">
        <v>3.4472687240000002</v>
      </c>
      <c r="E173" s="44">
        <v>2.1881637569999999</v>
      </c>
      <c r="F173" s="44">
        <v>3.7209174630000001</v>
      </c>
      <c r="G173" s="44">
        <v>1.1882843970000001</v>
      </c>
      <c r="H173" s="44">
        <v>1.0076197389999999</v>
      </c>
      <c r="I173" s="44">
        <v>0.78054004909999997</v>
      </c>
      <c r="J173" s="44">
        <v>0.51753693820000002</v>
      </c>
      <c r="K173" s="44">
        <f t="shared" si="96"/>
        <v>2.3715437189021604</v>
      </c>
      <c r="L173" s="58">
        <f>AVERAGE(K139:K173)</f>
        <v>1.4579084715057193</v>
      </c>
      <c r="N173">
        <v>1</v>
      </c>
      <c r="O173">
        <v>1</v>
      </c>
      <c r="P173">
        <v>1</v>
      </c>
      <c r="Q173">
        <v>1.04</v>
      </c>
      <c r="R173">
        <v>1</v>
      </c>
      <c r="S173">
        <v>1.05</v>
      </c>
      <c r="T173">
        <v>1.05</v>
      </c>
      <c r="U173">
        <v>1</v>
      </c>
      <c r="W173" s="44">
        <f t="shared" si="112"/>
        <v>3.223468065</v>
      </c>
      <c r="X173" s="44">
        <f t="shared" si="97"/>
        <v>3.4472687240000002</v>
      </c>
      <c r="Y173" s="44">
        <f t="shared" si="98"/>
        <v>2.1881637569999999</v>
      </c>
      <c r="Z173" s="44">
        <f t="shared" si="99"/>
        <v>3.8697541615200004</v>
      </c>
      <c r="AA173" s="44">
        <f t="shared" si="100"/>
        <v>1.1882843970000001</v>
      </c>
      <c r="AB173" s="44">
        <f t="shared" si="101"/>
        <v>1.0580007259499999</v>
      </c>
      <c r="AC173" s="44">
        <f t="shared" si="102"/>
        <v>0.81956705155499998</v>
      </c>
      <c r="AD173" s="44">
        <f t="shared" si="103"/>
        <v>0.51753693820000002</v>
      </c>
      <c r="AF173" s="61" t="str">
        <f t="shared" si="113"/>
        <v>P35</v>
      </c>
      <c r="AG173" s="44">
        <f t="shared" si="114"/>
        <v>0.44157096780821919</v>
      </c>
      <c r="AH173" s="44">
        <f t="shared" si="104"/>
        <v>0.47222859232876718</v>
      </c>
      <c r="AI173" s="44">
        <f t="shared" si="105"/>
        <v>0.29974845986301368</v>
      </c>
      <c r="AJ173" s="44">
        <f t="shared" si="106"/>
        <v>0.53010330979726039</v>
      </c>
      <c r="AK173" s="44">
        <f t="shared" si="107"/>
        <v>0.23345469489194501</v>
      </c>
      <c r="AL173" s="44">
        <f t="shared" si="108"/>
        <v>0.20785868879174851</v>
      </c>
      <c r="AM173" s="44">
        <f t="shared" si="109"/>
        <v>0.20387240088432837</v>
      </c>
      <c r="AN173" s="44">
        <f t="shared" si="110"/>
        <v>0.12874053189054729</v>
      </c>
      <c r="AO173" s="44">
        <f t="shared" si="111"/>
        <v>0.35734306609127381</v>
      </c>
      <c r="AP173" s="76">
        <f>AVERAGE(AO139:AO173)</f>
        <v>0.23519322088331326</v>
      </c>
    </row>
    <row r="174" spans="1:42" ht="15.6" x14ac:dyDescent="0.25">
      <c r="A174" s="60"/>
      <c r="B174" s="62" t="s">
        <v>274</v>
      </c>
      <c r="C174" s="44">
        <v>3.0663747790000002</v>
      </c>
      <c r="D174" s="44">
        <v>3.256350517</v>
      </c>
      <c r="E174" s="44">
        <v>2.74551034</v>
      </c>
      <c r="F174" s="44">
        <v>2.0947663780000001</v>
      </c>
      <c r="G174" s="44">
        <v>1.139805317</v>
      </c>
      <c r="H174" s="44">
        <v>0.8839789629</v>
      </c>
      <c r="I174" s="44">
        <v>0.23765294249999999</v>
      </c>
      <c r="J174" s="44">
        <v>0.47439926859999998</v>
      </c>
      <c r="K174" s="44">
        <f t="shared" si="96"/>
        <v>1.9140008868667091</v>
      </c>
      <c r="L174" s="58"/>
      <c r="N174">
        <v>1</v>
      </c>
      <c r="O174">
        <v>1</v>
      </c>
      <c r="P174">
        <v>1</v>
      </c>
      <c r="Q174">
        <v>1.02</v>
      </c>
      <c r="R174">
        <v>1</v>
      </c>
      <c r="S174">
        <v>1.05</v>
      </c>
      <c r="T174">
        <v>1</v>
      </c>
      <c r="U174">
        <v>1</v>
      </c>
      <c r="W174" s="44">
        <f t="shared" si="112"/>
        <v>3.0663747790000002</v>
      </c>
      <c r="X174" s="44">
        <f t="shared" si="97"/>
        <v>3.256350517</v>
      </c>
      <c r="Y174" s="44">
        <f t="shared" si="98"/>
        <v>2.74551034</v>
      </c>
      <c r="Z174" s="44">
        <f t="shared" si="99"/>
        <v>2.1366617055600003</v>
      </c>
      <c r="AA174" s="44">
        <f t="shared" si="100"/>
        <v>1.139805317</v>
      </c>
      <c r="AB174" s="44">
        <f t="shared" si="101"/>
        <v>0.92817791104500003</v>
      </c>
      <c r="AC174" s="44">
        <f t="shared" si="102"/>
        <v>0.23765294249999999</v>
      </c>
      <c r="AD174" s="44">
        <f t="shared" si="103"/>
        <v>0.47439926859999998</v>
      </c>
      <c r="AF174" s="61" t="str">
        <f t="shared" si="113"/>
        <v>O1</v>
      </c>
      <c r="AG174" s="44">
        <f t="shared" si="114"/>
        <v>0.42005133958904112</v>
      </c>
      <c r="AH174" s="44">
        <f t="shared" si="104"/>
        <v>0.44607541328767125</v>
      </c>
      <c r="AI174" s="44">
        <f t="shared" si="105"/>
        <v>0.37609730684931508</v>
      </c>
      <c r="AJ174" s="44">
        <f t="shared" si="106"/>
        <v>0.29269338432328773</v>
      </c>
      <c r="AK174" s="44">
        <f t="shared" si="107"/>
        <v>0.22393031768172889</v>
      </c>
      <c r="AL174" s="44">
        <f t="shared" si="108"/>
        <v>0.18235322417387034</v>
      </c>
      <c r="AM174" s="44">
        <f t="shared" si="109"/>
        <v>5.9117647388059705E-2</v>
      </c>
      <c r="AN174" s="44">
        <f t="shared" si="110"/>
        <v>0.11800976830845772</v>
      </c>
      <c r="AO174" s="44">
        <f t="shared" si="111"/>
        <v>0.28358748941370282</v>
      </c>
    </row>
    <row r="175" spans="1:42" ht="15.6" x14ac:dyDescent="0.25">
      <c r="A175" s="57"/>
      <c r="B175" s="62" t="s">
        <v>175</v>
      </c>
      <c r="C175" s="44">
        <v>3.118641615</v>
      </c>
      <c r="D175" s="44">
        <v>2.5945348739999998</v>
      </c>
      <c r="E175" s="44">
        <v>2.2964675429999999</v>
      </c>
      <c r="F175" s="44">
        <v>1.636432171</v>
      </c>
      <c r="G175" s="44">
        <v>0.78076928850000005</v>
      </c>
      <c r="H175" s="44">
        <v>0.59585249419999997</v>
      </c>
      <c r="I175" s="44">
        <v>1.120536566</v>
      </c>
      <c r="J175" s="44">
        <v>0.98198133710000002</v>
      </c>
      <c r="K175" s="44">
        <f t="shared" si="96"/>
        <v>1.6807880846645493</v>
      </c>
      <c r="L175" s="44"/>
      <c r="N175">
        <v>1</v>
      </c>
      <c r="O175">
        <v>1</v>
      </c>
      <c r="P175">
        <v>1</v>
      </c>
      <c r="Q175">
        <v>1.02</v>
      </c>
      <c r="R175">
        <v>1</v>
      </c>
      <c r="S175">
        <v>1.05</v>
      </c>
      <c r="T175">
        <v>1</v>
      </c>
      <c r="U175">
        <v>1</v>
      </c>
      <c r="W175" s="44">
        <f t="shared" si="112"/>
        <v>3.118641615</v>
      </c>
      <c r="X175" s="44">
        <f t="shared" si="97"/>
        <v>2.5945348739999998</v>
      </c>
      <c r="Y175" s="44">
        <f t="shared" si="98"/>
        <v>2.2964675429999999</v>
      </c>
      <c r="Z175" s="44">
        <f t="shared" si="99"/>
        <v>1.6691608144200001</v>
      </c>
      <c r="AA175" s="44">
        <f t="shared" si="100"/>
        <v>0.78076928850000005</v>
      </c>
      <c r="AB175" s="44">
        <f t="shared" si="101"/>
        <v>0.62564511890999996</v>
      </c>
      <c r="AC175" s="44">
        <f t="shared" si="102"/>
        <v>1.120536566</v>
      </c>
      <c r="AD175" s="44">
        <f t="shared" si="103"/>
        <v>0.98198133710000002</v>
      </c>
      <c r="AF175" s="61" t="str">
        <f t="shared" si="113"/>
        <v>O2</v>
      </c>
      <c r="AG175" s="44">
        <f t="shared" si="114"/>
        <v>0.42721118013698633</v>
      </c>
      <c r="AH175" s="44">
        <f t="shared" si="104"/>
        <v>0.35541573616438354</v>
      </c>
      <c r="AI175" s="44">
        <f t="shared" si="105"/>
        <v>0.31458459493150687</v>
      </c>
      <c r="AJ175" s="44">
        <f t="shared" si="106"/>
        <v>0.22865216635890412</v>
      </c>
      <c r="AK175" s="44">
        <f t="shared" si="107"/>
        <v>0.15339278752455798</v>
      </c>
      <c r="AL175" s="44">
        <f t="shared" si="108"/>
        <v>0.12291652630844793</v>
      </c>
      <c r="AM175" s="44">
        <f t="shared" si="109"/>
        <v>0.27874043930348258</v>
      </c>
      <c r="AN175" s="44">
        <f t="shared" si="110"/>
        <v>0.24427396445273636</v>
      </c>
      <c r="AO175" s="44">
        <f t="shared" si="111"/>
        <v>0.25895210305859562</v>
      </c>
    </row>
    <row r="176" spans="1:42" ht="15.6" x14ac:dyDescent="0.25">
      <c r="A176" s="60"/>
      <c r="B176" s="62" t="s">
        <v>176</v>
      </c>
      <c r="C176" s="44">
        <v>0.8129660487</v>
      </c>
      <c r="D176" s="44">
        <v>0.88461273910000005</v>
      </c>
      <c r="E176" s="44">
        <v>0.75280278919999999</v>
      </c>
      <c r="F176" s="44">
        <v>1.779371858</v>
      </c>
      <c r="G176" s="44">
        <v>0.3983131647</v>
      </c>
      <c r="H176" s="44">
        <v>0.43210607769999998</v>
      </c>
      <c r="I176" s="44">
        <v>1.5182229279999999</v>
      </c>
      <c r="J176" s="44">
        <v>1.201409578</v>
      </c>
      <c r="K176" s="44">
        <f t="shared" si="96"/>
        <v>1.0860227772783992</v>
      </c>
      <c r="L176" s="58"/>
      <c r="N176">
        <v>1</v>
      </c>
      <c r="O176">
        <v>1</v>
      </c>
      <c r="P176">
        <v>1</v>
      </c>
      <c r="Q176">
        <v>1.02</v>
      </c>
      <c r="R176">
        <v>1</v>
      </c>
      <c r="S176">
        <v>1.05</v>
      </c>
      <c r="T176">
        <v>1</v>
      </c>
      <c r="U176">
        <v>1</v>
      </c>
      <c r="W176" s="44">
        <f t="shared" si="112"/>
        <v>0.8129660487</v>
      </c>
      <c r="X176" s="44">
        <f t="shared" si="97"/>
        <v>0.88461273910000005</v>
      </c>
      <c r="Y176" s="44">
        <f t="shared" si="98"/>
        <v>0.75280278919999999</v>
      </c>
      <c r="Z176" s="44">
        <f t="shared" si="99"/>
        <v>1.81495929516</v>
      </c>
      <c r="AA176" s="44">
        <f t="shared" si="100"/>
        <v>0.3983131647</v>
      </c>
      <c r="AB176" s="44">
        <f t="shared" si="101"/>
        <v>0.45371138158500002</v>
      </c>
      <c r="AC176" s="44">
        <f t="shared" si="102"/>
        <v>1.5182229279999999</v>
      </c>
      <c r="AD176" s="44">
        <f t="shared" si="103"/>
        <v>1.201409578</v>
      </c>
      <c r="AF176" s="61" t="str">
        <f t="shared" si="113"/>
        <v>O3</v>
      </c>
      <c r="AG176" s="44">
        <f t="shared" si="114"/>
        <v>0.11136521215068493</v>
      </c>
      <c r="AH176" s="44">
        <f t="shared" si="104"/>
        <v>0.12117982727397261</v>
      </c>
      <c r="AI176" s="44">
        <f t="shared" si="105"/>
        <v>0.10312366975342466</v>
      </c>
      <c r="AJ176" s="44">
        <f t="shared" si="106"/>
        <v>0.24862456098082192</v>
      </c>
      <c r="AK176" s="44">
        <f t="shared" si="107"/>
        <v>7.8254059862475439E-2</v>
      </c>
      <c r="AL176" s="44">
        <f t="shared" si="108"/>
        <v>8.913779598919451E-2</v>
      </c>
      <c r="AM176" s="44">
        <f t="shared" si="109"/>
        <v>0.37766739502487562</v>
      </c>
      <c r="AN176" s="44">
        <f t="shared" si="110"/>
        <v>0.29885810398009954</v>
      </c>
      <c r="AO176" s="44">
        <f t="shared" si="111"/>
        <v>0.17895717313685941</v>
      </c>
    </row>
    <row r="177" spans="1:41" ht="15.6" x14ac:dyDescent="0.25">
      <c r="A177" s="57"/>
      <c r="B177" s="62" t="s">
        <v>177</v>
      </c>
      <c r="C177" s="44">
        <v>1.2023229600000001</v>
      </c>
      <c r="D177" s="44">
        <v>0.83117198940000003</v>
      </c>
      <c r="E177" s="44">
        <v>0.75701498990000005</v>
      </c>
      <c r="F177" s="44">
        <v>2.0963034629999999</v>
      </c>
      <c r="G177" s="44">
        <v>0.305872649</v>
      </c>
      <c r="H177" s="44">
        <v>0.45278176669999998</v>
      </c>
      <c r="I177" s="44">
        <v>1.662416339</v>
      </c>
      <c r="J177" s="44">
        <v>1.5101337429999999</v>
      </c>
      <c r="K177" s="44">
        <f t="shared" si="96"/>
        <v>1.2252581334745871</v>
      </c>
      <c r="L177" s="44"/>
      <c r="N177">
        <v>1</v>
      </c>
      <c r="O177">
        <v>1</v>
      </c>
      <c r="P177">
        <v>1</v>
      </c>
      <c r="Q177">
        <v>1.02</v>
      </c>
      <c r="R177">
        <v>1</v>
      </c>
      <c r="S177">
        <v>1.05</v>
      </c>
      <c r="T177">
        <v>1</v>
      </c>
      <c r="U177">
        <v>1</v>
      </c>
      <c r="W177" s="44">
        <f t="shared" si="112"/>
        <v>1.2023229600000001</v>
      </c>
      <c r="X177" s="44">
        <f t="shared" si="97"/>
        <v>0.83117198940000003</v>
      </c>
      <c r="Y177" s="44">
        <f t="shared" si="98"/>
        <v>0.75701498990000005</v>
      </c>
      <c r="Z177" s="44">
        <f t="shared" si="99"/>
        <v>2.13822953226</v>
      </c>
      <c r="AA177" s="44">
        <f t="shared" si="100"/>
        <v>0.305872649</v>
      </c>
      <c r="AB177" s="44">
        <f t="shared" si="101"/>
        <v>0.47542085503499998</v>
      </c>
      <c r="AC177" s="44">
        <f t="shared" si="102"/>
        <v>1.662416339</v>
      </c>
      <c r="AD177" s="44">
        <f t="shared" si="103"/>
        <v>1.5101337429999999</v>
      </c>
      <c r="AF177" s="61" t="str">
        <f t="shared" si="113"/>
        <v>O4</v>
      </c>
      <c r="AG177" s="44">
        <f t="shared" si="114"/>
        <v>0.16470177534246577</v>
      </c>
      <c r="AH177" s="44">
        <f t="shared" si="104"/>
        <v>0.11385917663013699</v>
      </c>
      <c r="AI177" s="44">
        <f t="shared" si="105"/>
        <v>0.10370068354794522</v>
      </c>
      <c r="AJ177" s="44">
        <f t="shared" si="106"/>
        <v>0.29290815510410961</v>
      </c>
      <c r="AK177" s="44">
        <f t="shared" si="107"/>
        <v>6.0092858349705305E-2</v>
      </c>
      <c r="AL177" s="44">
        <f t="shared" si="108"/>
        <v>9.3402918474459723E-2</v>
      </c>
      <c r="AM177" s="44">
        <f t="shared" si="109"/>
        <v>0.41353640273631842</v>
      </c>
      <c r="AN177" s="44">
        <f t="shared" si="110"/>
        <v>0.37565515995024878</v>
      </c>
      <c r="AO177" s="44">
        <f t="shared" si="111"/>
        <v>0.20145630200457165</v>
      </c>
    </row>
    <row r="178" spans="1:41" ht="15.6" x14ac:dyDescent="0.25">
      <c r="A178" s="60"/>
      <c r="B178" s="62" t="s">
        <v>178</v>
      </c>
      <c r="C178" s="44">
        <v>3.7504999639999999</v>
      </c>
      <c r="D178" s="44">
        <v>3.333203793</v>
      </c>
      <c r="E178" s="44">
        <v>2.8284914489999999</v>
      </c>
      <c r="F178" s="44">
        <v>1.4247570039999999</v>
      </c>
      <c r="G178" s="44">
        <v>1.040360212</v>
      </c>
      <c r="H178" s="44">
        <v>0.33421078319999997</v>
      </c>
      <c r="I178" s="44">
        <v>2.1804039479999999</v>
      </c>
      <c r="J178" s="44">
        <v>1.846318007</v>
      </c>
      <c r="K178" s="44">
        <f t="shared" si="96"/>
        <v>2.0025083571316395</v>
      </c>
      <c r="L178" s="58"/>
      <c r="N178">
        <v>1</v>
      </c>
      <c r="O178">
        <v>1</v>
      </c>
      <c r="P178">
        <v>1</v>
      </c>
      <c r="Q178">
        <v>1.02</v>
      </c>
      <c r="R178">
        <v>1</v>
      </c>
      <c r="S178">
        <v>1.05</v>
      </c>
      <c r="T178">
        <v>1</v>
      </c>
      <c r="U178">
        <v>1</v>
      </c>
      <c r="W178" s="44">
        <f t="shared" si="112"/>
        <v>3.7504999639999999</v>
      </c>
      <c r="X178" s="44">
        <f t="shared" si="97"/>
        <v>3.333203793</v>
      </c>
      <c r="Y178" s="44">
        <f t="shared" si="98"/>
        <v>2.8284914489999999</v>
      </c>
      <c r="Z178" s="44">
        <f t="shared" si="99"/>
        <v>1.4532521440799999</v>
      </c>
      <c r="AA178" s="44">
        <f t="shared" si="100"/>
        <v>1.040360212</v>
      </c>
      <c r="AB178" s="44">
        <f t="shared" si="101"/>
        <v>0.35092132236000001</v>
      </c>
      <c r="AC178" s="44">
        <f t="shared" si="102"/>
        <v>2.1804039479999999</v>
      </c>
      <c r="AD178" s="44">
        <f t="shared" si="103"/>
        <v>1.846318007</v>
      </c>
      <c r="AF178" s="61" t="str">
        <f t="shared" si="113"/>
        <v>O5</v>
      </c>
      <c r="AG178" s="44">
        <f t="shared" si="114"/>
        <v>0.5137671183561644</v>
      </c>
      <c r="AH178" s="44">
        <f t="shared" si="104"/>
        <v>0.45660325931506851</v>
      </c>
      <c r="AI178" s="44">
        <f t="shared" si="105"/>
        <v>0.3874645820547945</v>
      </c>
      <c r="AJ178" s="44">
        <f t="shared" si="106"/>
        <v>0.19907563617534246</v>
      </c>
      <c r="AK178" s="44">
        <f t="shared" si="107"/>
        <v>0.20439296895874262</v>
      </c>
      <c r="AL178" s="44">
        <f t="shared" si="108"/>
        <v>6.8943285335952856E-2</v>
      </c>
      <c r="AM178" s="44">
        <f t="shared" si="109"/>
        <v>0.54238904179104486</v>
      </c>
      <c r="AN178" s="44">
        <f t="shared" si="110"/>
        <v>0.45928308631840803</v>
      </c>
      <c r="AO178" s="44">
        <f t="shared" si="111"/>
        <v>0.32038899353983646</v>
      </c>
    </row>
    <row r="179" spans="1:41" ht="15.6" x14ac:dyDescent="0.25">
      <c r="A179" s="57"/>
      <c r="B179" s="62" t="s">
        <v>179</v>
      </c>
      <c r="C179" s="44">
        <v>3.9847793579999999</v>
      </c>
      <c r="D179" s="44">
        <v>4.3435873989999996</v>
      </c>
      <c r="E179" s="44">
        <v>3.8579773899999998</v>
      </c>
      <c r="F179" s="44">
        <v>1.2235219479999999</v>
      </c>
      <c r="G179" s="44">
        <v>1.2113467449999999</v>
      </c>
      <c r="H179" s="44">
        <v>0.61779677870000005</v>
      </c>
      <c r="I179" s="44">
        <v>0.74344301219999998</v>
      </c>
      <c r="J179" s="44">
        <v>0.38427212830000002</v>
      </c>
      <c r="K179" s="44">
        <f t="shared" si="96"/>
        <v>2.0642461198909783</v>
      </c>
      <c r="L179" s="44"/>
      <c r="N179">
        <v>1</v>
      </c>
      <c r="O179">
        <v>1</v>
      </c>
      <c r="P179">
        <v>1</v>
      </c>
      <c r="Q179">
        <v>1.02</v>
      </c>
      <c r="R179">
        <v>1</v>
      </c>
      <c r="S179">
        <v>1.05</v>
      </c>
      <c r="T179">
        <v>1</v>
      </c>
      <c r="U179">
        <v>1</v>
      </c>
      <c r="W179" s="44">
        <f t="shared" si="112"/>
        <v>3.9847793579999999</v>
      </c>
      <c r="X179" s="44">
        <f t="shared" si="97"/>
        <v>4.3435873989999996</v>
      </c>
      <c r="Y179" s="44">
        <f t="shared" si="98"/>
        <v>3.8579773899999998</v>
      </c>
      <c r="Z179" s="44">
        <f t="shared" si="99"/>
        <v>1.24799238696</v>
      </c>
      <c r="AA179" s="44">
        <f t="shared" si="100"/>
        <v>1.2113467449999999</v>
      </c>
      <c r="AB179" s="44">
        <f t="shared" si="101"/>
        <v>0.64868661763500013</v>
      </c>
      <c r="AC179" s="44">
        <f t="shared" si="102"/>
        <v>0.74344301219999998</v>
      </c>
      <c r="AD179" s="44">
        <f t="shared" si="103"/>
        <v>0.38427212830000002</v>
      </c>
      <c r="AF179" s="61" t="str">
        <f t="shared" si="113"/>
        <v>O6</v>
      </c>
      <c r="AG179" s="44">
        <f t="shared" si="114"/>
        <v>0.54586018602739728</v>
      </c>
      <c r="AH179" s="44">
        <f t="shared" si="104"/>
        <v>0.59501197246575344</v>
      </c>
      <c r="AI179" s="44">
        <f t="shared" si="105"/>
        <v>0.52849005342465749</v>
      </c>
      <c r="AJ179" s="44">
        <f t="shared" si="106"/>
        <v>0.17095786122739726</v>
      </c>
      <c r="AK179" s="44">
        <f t="shared" si="107"/>
        <v>0.23798560805500982</v>
      </c>
      <c r="AL179" s="44">
        <f t="shared" si="108"/>
        <v>0.12744334334675839</v>
      </c>
      <c r="AM179" s="44">
        <f t="shared" si="109"/>
        <v>0.18493607268656717</v>
      </c>
      <c r="AN179" s="44">
        <f t="shared" si="110"/>
        <v>9.5590081666666687E-2</v>
      </c>
      <c r="AO179" s="44">
        <f t="shared" si="111"/>
        <v>0.30654289520593364</v>
      </c>
    </row>
    <row r="180" spans="1:41" ht="15.6" x14ac:dyDescent="0.25">
      <c r="A180" s="60"/>
      <c r="B180" s="62" t="s">
        <v>180</v>
      </c>
      <c r="C180" s="44">
        <v>2.6433856489999998</v>
      </c>
      <c r="D180" s="44">
        <v>2.9552419190000001</v>
      </c>
      <c r="E180" s="44">
        <v>2.8207492830000001</v>
      </c>
      <c r="F180" s="44">
        <v>0.61583423609999999</v>
      </c>
      <c r="G180" s="44">
        <v>1.725874186</v>
      </c>
      <c r="H180" s="44">
        <v>1.502147436</v>
      </c>
      <c r="I180" s="44">
        <v>0.124399811</v>
      </c>
      <c r="J180" s="44">
        <v>0.1981449425</v>
      </c>
      <c r="K180" s="44">
        <f t="shared" si="96"/>
        <v>1.5373592145095303</v>
      </c>
      <c r="L180" s="58"/>
      <c r="N180">
        <v>1</v>
      </c>
      <c r="O180">
        <v>1</v>
      </c>
      <c r="P180">
        <v>1</v>
      </c>
      <c r="Q180">
        <v>1.02</v>
      </c>
      <c r="R180">
        <v>1</v>
      </c>
      <c r="S180">
        <v>1.05</v>
      </c>
      <c r="T180">
        <v>1</v>
      </c>
      <c r="U180">
        <v>1</v>
      </c>
      <c r="W180" s="44">
        <f t="shared" si="112"/>
        <v>2.6433856489999998</v>
      </c>
      <c r="X180" s="44">
        <f t="shared" si="97"/>
        <v>2.9552419190000001</v>
      </c>
      <c r="Y180" s="44">
        <f t="shared" si="98"/>
        <v>2.8207492830000001</v>
      </c>
      <c r="Z180" s="44">
        <f t="shared" si="99"/>
        <v>0.62815092082199997</v>
      </c>
      <c r="AA180" s="44">
        <f t="shared" si="100"/>
        <v>1.725874186</v>
      </c>
      <c r="AB180" s="44">
        <f t="shared" si="101"/>
        <v>1.5772548078000002</v>
      </c>
      <c r="AC180" s="44">
        <f t="shared" si="102"/>
        <v>0.124399811</v>
      </c>
      <c r="AD180" s="44">
        <f t="shared" si="103"/>
        <v>0.1981449425</v>
      </c>
      <c r="AF180" s="61" t="str">
        <f t="shared" si="113"/>
        <v>O7</v>
      </c>
      <c r="AG180" s="44">
        <f t="shared" si="114"/>
        <v>0.3621076231506849</v>
      </c>
      <c r="AH180" s="44">
        <f t="shared" si="104"/>
        <v>0.40482766013698634</v>
      </c>
      <c r="AI180" s="44">
        <f t="shared" si="105"/>
        <v>0.38640401136986302</v>
      </c>
      <c r="AJ180" s="44">
        <f t="shared" si="106"/>
        <v>8.6048071345479454E-2</v>
      </c>
      <c r="AK180" s="44">
        <f t="shared" si="107"/>
        <v>0.33907154931237721</v>
      </c>
      <c r="AL180" s="44">
        <f t="shared" si="108"/>
        <v>0.30987324318271126</v>
      </c>
      <c r="AM180" s="44">
        <f t="shared" si="109"/>
        <v>3.0945226616915424E-2</v>
      </c>
      <c r="AN180" s="44">
        <f t="shared" si="110"/>
        <v>4.9289786691542298E-2</v>
      </c>
      <c r="AO180" s="44">
        <f t="shared" si="111"/>
        <v>0.23532372319507469</v>
      </c>
    </row>
    <row r="181" spans="1:41" ht="15.6" x14ac:dyDescent="0.25">
      <c r="A181" s="57"/>
      <c r="B181" s="62" t="s">
        <v>181</v>
      </c>
      <c r="C181" s="44">
        <v>2.1850214000000001</v>
      </c>
      <c r="D181" s="44">
        <v>2.059233189</v>
      </c>
      <c r="E181" s="44">
        <v>2.0972208979999998</v>
      </c>
      <c r="F181" s="44">
        <v>2.7255342009999999</v>
      </c>
      <c r="G181" s="44">
        <v>0.1119012907</v>
      </c>
      <c r="H181" s="44">
        <v>0.28901651499999997</v>
      </c>
      <c r="I181" s="44">
        <v>0.27824482319999999</v>
      </c>
      <c r="J181" s="44">
        <v>0.13736423850000001</v>
      </c>
      <c r="K181" s="44">
        <f t="shared" si="96"/>
        <v>1.5879780640172811</v>
      </c>
      <c r="L181" s="44"/>
      <c r="N181">
        <v>1</v>
      </c>
      <c r="O181">
        <v>1</v>
      </c>
      <c r="P181">
        <v>1</v>
      </c>
      <c r="Q181">
        <v>1.02</v>
      </c>
      <c r="R181">
        <v>1</v>
      </c>
      <c r="S181">
        <v>1.05</v>
      </c>
      <c r="T181">
        <v>1</v>
      </c>
      <c r="U181">
        <v>1</v>
      </c>
      <c r="W181" s="44">
        <f t="shared" si="112"/>
        <v>2.1850214000000001</v>
      </c>
      <c r="X181" s="44">
        <f t="shared" si="97"/>
        <v>2.059233189</v>
      </c>
      <c r="Y181" s="44">
        <f t="shared" si="98"/>
        <v>2.0972208979999998</v>
      </c>
      <c r="Z181" s="44">
        <f t="shared" si="99"/>
        <v>2.7800448850200001</v>
      </c>
      <c r="AA181" s="44">
        <f t="shared" si="100"/>
        <v>0.1119012907</v>
      </c>
      <c r="AB181" s="44">
        <f t="shared" si="101"/>
        <v>0.30346734074999998</v>
      </c>
      <c r="AC181" s="44">
        <f t="shared" si="102"/>
        <v>0.27824482319999999</v>
      </c>
      <c r="AD181" s="44">
        <f t="shared" si="103"/>
        <v>0.13736423850000001</v>
      </c>
      <c r="AF181" s="61" t="str">
        <f t="shared" si="113"/>
        <v>O8</v>
      </c>
      <c r="AG181" s="44">
        <f t="shared" si="114"/>
        <v>0.29931800000000003</v>
      </c>
      <c r="AH181" s="44">
        <f t="shared" si="104"/>
        <v>0.28208673821917807</v>
      </c>
      <c r="AI181" s="44">
        <f t="shared" si="105"/>
        <v>0.28729053397260274</v>
      </c>
      <c r="AJ181" s="44">
        <f t="shared" si="106"/>
        <v>0.3808280664410959</v>
      </c>
      <c r="AK181" s="44">
        <f t="shared" si="107"/>
        <v>2.1984536483300589E-2</v>
      </c>
      <c r="AL181" s="44">
        <f t="shared" si="108"/>
        <v>5.9620302701375243E-2</v>
      </c>
      <c r="AM181" s="44">
        <f t="shared" si="109"/>
        <v>6.9215130149253734E-2</v>
      </c>
      <c r="AN181" s="44">
        <f t="shared" si="110"/>
        <v>3.4170208582089558E-2</v>
      </c>
      <c r="AO181" s="44">
        <f t="shared" si="111"/>
        <v>0.22555466299680405</v>
      </c>
    </row>
    <row r="182" spans="1:41" ht="15.6" x14ac:dyDescent="0.25">
      <c r="A182" s="60"/>
      <c r="B182" s="62" t="s">
        <v>182</v>
      </c>
      <c r="C182" s="44">
        <v>1.087087989</v>
      </c>
      <c r="D182" s="44">
        <v>1.1865156889999999</v>
      </c>
      <c r="E182" s="44">
        <v>1.6842017170000001</v>
      </c>
      <c r="F182" s="44">
        <v>2.3895530699999998</v>
      </c>
      <c r="G182" s="44">
        <v>0.28692340849999998</v>
      </c>
      <c r="H182" s="44">
        <v>0.40830337999999999</v>
      </c>
      <c r="I182" s="44">
        <v>0.2722079456</v>
      </c>
      <c r="J182" s="44">
        <v>0.23509436850000001</v>
      </c>
      <c r="K182" s="44">
        <f t="shared" si="96"/>
        <v>1.2886420313534945</v>
      </c>
      <c r="L182" s="58"/>
      <c r="N182">
        <v>1</v>
      </c>
      <c r="O182">
        <v>1</v>
      </c>
      <c r="P182">
        <v>1</v>
      </c>
      <c r="Q182">
        <v>1.02</v>
      </c>
      <c r="R182">
        <v>1</v>
      </c>
      <c r="S182">
        <v>1.05</v>
      </c>
      <c r="T182">
        <v>1</v>
      </c>
      <c r="U182">
        <v>1</v>
      </c>
      <c r="W182" s="44">
        <f t="shared" si="112"/>
        <v>1.087087989</v>
      </c>
      <c r="X182" s="44">
        <f t="shared" si="97"/>
        <v>1.1865156889999999</v>
      </c>
      <c r="Y182" s="44">
        <f t="shared" si="98"/>
        <v>1.6842017170000001</v>
      </c>
      <c r="Z182" s="44">
        <f t="shared" si="99"/>
        <v>2.4373441313999997</v>
      </c>
      <c r="AA182" s="44">
        <f t="shared" si="100"/>
        <v>0.28692340849999998</v>
      </c>
      <c r="AB182" s="44">
        <f t="shared" si="101"/>
        <v>0.428718549</v>
      </c>
      <c r="AC182" s="44">
        <f t="shared" si="102"/>
        <v>0.2722079456</v>
      </c>
      <c r="AD182" s="44">
        <f t="shared" si="103"/>
        <v>0.23509436850000001</v>
      </c>
      <c r="AF182" s="61" t="str">
        <f t="shared" si="113"/>
        <v>O9</v>
      </c>
      <c r="AG182" s="44">
        <f t="shared" si="114"/>
        <v>0.14891616287671233</v>
      </c>
      <c r="AH182" s="44">
        <f t="shared" si="104"/>
        <v>0.16253639575342466</v>
      </c>
      <c r="AI182" s="44">
        <f t="shared" si="105"/>
        <v>0.23071256397260276</v>
      </c>
      <c r="AJ182" s="44">
        <f t="shared" si="106"/>
        <v>0.33388275772602738</v>
      </c>
      <c r="AK182" s="44">
        <f t="shared" si="107"/>
        <v>5.637002131630648E-2</v>
      </c>
      <c r="AL182" s="44">
        <f t="shared" si="108"/>
        <v>8.422761277013753E-2</v>
      </c>
      <c r="AM182" s="44">
        <f t="shared" si="109"/>
        <v>6.7713419303482597E-2</v>
      </c>
      <c r="AN182" s="44">
        <f t="shared" si="110"/>
        <v>5.8481186194029859E-2</v>
      </c>
      <c r="AO182" s="44">
        <f t="shared" si="111"/>
        <v>0.18707724178202195</v>
      </c>
    </row>
    <row r="183" spans="1:41" ht="15.6" x14ac:dyDescent="0.25">
      <c r="A183" s="57"/>
      <c r="B183" s="62" t="s">
        <v>183</v>
      </c>
      <c r="C183" s="44">
        <v>1.557360649</v>
      </c>
      <c r="D183" s="44">
        <v>1.765554667</v>
      </c>
      <c r="E183" s="44">
        <v>2.3459351060000002</v>
      </c>
      <c r="F183" s="44">
        <v>2.4428663249999998</v>
      </c>
      <c r="G183" s="44">
        <v>0.57657474279999998</v>
      </c>
      <c r="H183" s="44">
        <v>0.72195756440000003</v>
      </c>
      <c r="I183" s="44">
        <v>0.19743947680000001</v>
      </c>
      <c r="J183" s="44">
        <v>0.30889227990000001</v>
      </c>
      <c r="K183" s="44">
        <f t="shared" si="96"/>
        <v>1.5755863172626432</v>
      </c>
      <c r="L183" s="44"/>
      <c r="N183">
        <v>1</v>
      </c>
      <c r="O183">
        <v>1</v>
      </c>
      <c r="P183">
        <v>1</v>
      </c>
      <c r="Q183">
        <v>1.02</v>
      </c>
      <c r="R183">
        <v>1</v>
      </c>
      <c r="S183">
        <v>1.05</v>
      </c>
      <c r="T183">
        <v>1</v>
      </c>
      <c r="U183">
        <v>1</v>
      </c>
      <c r="W183" s="44">
        <f t="shared" si="112"/>
        <v>1.557360649</v>
      </c>
      <c r="X183" s="44">
        <f t="shared" si="97"/>
        <v>1.765554667</v>
      </c>
      <c r="Y183" s="44">
        <f t="shared" si="98"/>
        <v>2.3459351060000002</v>
      </c>
      <c r="Z183" s="44">
        <f t="shared" si="99"/>
        <v>2.4917236514999996</v>
      </c>
      <c r="AA183" s="44">
        <f t="shared" si="100"/>
        <v>0.57657474279999998</v>
      </c>
      <c r="AB183" s="44">
        <f t="shared" si="101"/>
        <v>0.75805544262000002</v>
      </c>
      <c r="AC183" s="44">
        <f t="shared" si="102"/>
        <v>0.19743947680000001</v>
      </c>
      <c r="AD183" s="44">
        <f t="shared" si="103"/>
        <v>0.30889227990000001</v>
      </c>
      <c r="AF183" s="61" t="str">
        <f t="shared" si="113"/>
        <v>O10</v>
      </c>
      <c r="AG183" s="44">
        <f t="shared" si="114"/>
        <v>0.21333707520547945</v>
      </c>
      <c r="AH183" s="44">
        <f t="shared" si="104"/>
        <v>0.24185680369863014</v>
      </c>
      <c r="AI183" s="44">
        <f t="shared" si="105"/>
        <v>0.32136097342465758</v>
      </c>
      <c r="AJ183" s="44">
        <f t="shared" si="106"/>
        <v>0.3413320070547945</v>
      </c>
      <c r="AK183" s="44">
        <f t="shared" si="107"/>
        <v>0.11327598090373281</v>
      </c>
      <c r="AL183" s="44">
        <f t="shared" si="108"/>
        <v>0.14893034236149313</v>
      </c>
      <c r="AM183" s="44">
        <f t="shared" si="109"/>
        <v>4.9114297711442795E-2</v>
      </c>
      <c r="AN183" s="44">
        <f t="shared" si="110"/>
        <v>7.6838875597014938E-2</v>
      </c>
      <c r="AO183" s="44">
        <f t="shared" si="111"/>
        <v>0.23028009997359311</v>
      </c>
    </row>
    <row r="184" spans="1:41" ht="15.6" x14ac:dyDescent="0.25">
      <c r="A184" s="60"/>
      <c r="B184" s="62" t="s">
        <v>184</v>
      </c>
      <c r="C184" s="44">
        <v>2.9737141130000002</v>
      </c>
      <c r="D184" s="44">
        <v>3.1415078639999998</v>
      </c>
      <c r="E184" s="44">
        <v>3.0781326290000002</v>
      </c>
      <c r="F184" s="44">
        <v>2.8388655190000001</v>
      </c>
      <c r="G184" s="44">
        <v>0.77329939599999997</v>
      </c>
      <c r="H184" s="44">
        <v>0.73206329349999999</v>
      </c>
      <c r="I184" s="44">
        <v>0.2124771476</v>
      </c>
      <c r="J184" s="44">
        <v>0.29530584809999999</v>
      </c>
      <c r="K184" s="44">
        <f t="shared" si="96"/>
        <v>2.0903007421761126</v>
      </c>
      <c r="L184" s="58"/>
      <c r="N184">
        <v>1</v>
      </c>
      <c r="O184">
        <v>1</v>
      </c>
      <c r="P184">
        <v>1</v>
      </c>
      <c r="Q184">
        <v>1.02</v>
      </c>
      <c r="R184">
        <v>1</v>
      </c>
      <c r="S184">
        <v>1.05</v>
      </c>
      <c r="T184">
        <v>1</v>
      </c>
      <c r="U184">
        <v>1</v>
      </c>
      <c r="W184" s="44">
        <f t="shared" si="112"/>
        <v>2.9737141130000002</v>
      </c>
      <c r="X184" s="44">
        <f t="shared" si="97"/>
        <v>3.1415078639999998</v>
      </c>
      <c r="Y184" s="44">
        <f t="shared" si="98"/>
        <v>3.0781326290000002</v>
      </c>
      <c r="Z184" s="44">
        <f t="shared" si="99"/>
        <v>2.8956428293800003</v>
      </c>
      <c r="AA184" s="44">
        <f t="shared" si="100"/>
        <v>0.77329939599999997</v>
      </c>
      <c r="AB184" s="44">
        <f t="shared" si="101"/>
        <v>0.76866645817500001</v>
      </c>
      <c r="AC184" s="44">
        <f t="shared" si="102"/>
        <v>0.2124771476</v>
      </c>
      <c r="AD184" s="44">
        <f t="shared" si="103"/>
        <v>0.29530584809999999</v>
      </c>
      <c r="AF184" s="61" t="str">
        <f t="shared" si="113"/>
        <v>O11</v>
      </c>
      <c r="AG184" s="44">
        <f t="shared" si="114"/>
        <v>0.40735809767123293</v>
      </c>
      <c r="AH184" s="44">
        <f t="shared" si="104"/>
        <v>0.43034354301369859</v>
      </c>
      <c r="AI184" s="44">
        <f t="shared" si="105"/>
        <v>0.42166200397260278</v>
      </c>
      <c r="AJ184" s="44">
        <f t="shared" si="106"/>
        <v>0.39666340128493155</v>
      </c>
      <c r="AK184" s="44">
        <f t="shared" si="107"/>
        <v>0.15192522514734774</v>
      </c>
      <c r="AL184" s="44">
        <f t="shared" si="108"/>
        <v>0.15101502125245581</v>
      </c>
      <c r="AM184" s="44">
        <f t="shared" si="109"/>
        <v>5.2855011840796023E-2</v>
      </c>
      <c r="AN184" s="44">
        <f t="shared" si="110"/>
        <v>7.3459166194029854E-2</v>
      </c>
      <c r="AO184" s="44">
        <f t="shared" si="111"/>
        <v>0.30281511655600152</v>
      </c>
    </row>
    <row r="185" spans="1:41" ht="15.6" x14ac:dyDescent="0.25">
      <c r="A185" s="57"/>
      <c r="B185" s="62" t="s">
        <v>185</v>
      </c>
      <c r="C185" s="44">
        <v>2.899853706</v>
      </c>
      <c r="D185" s="44">
        <v>2.7037944789999999</v>
      </c>
      <c r="E185" s="44">
        <v>2.3868708609999998</v>
      </c>
      <c r="F185" s="44">
        <v>1.6222184900000001</v>
      </c>
      <c r="G185" s="44">
        <v>1.652157426</v>
      </c>
      <c r="H185" s="44">
        <v>1.7414668799999999</v>
      </c>
      <c r="I185" s="44">
        <v>1.1641178130000001</v>
      </c>
      <c r="J185" s="44">
        <v>1.0641654730000001</v>
      </c>
      <c r="K185" s="44">
        <f t="shared" si="96"/>
        <v>1.8960467897064808</v>
      </c>
      <c r="L185" s="44"/>
      <c r="N185">
        <v>1</v>
      </c>
      <c r="O185">
        <v>1</v>
      </c>
      <c r="P185">
        <v>1</v>
      </c>
      <c r="Q185">
        <v>1.02</v>
      </c>
      <c r="R185">
        <v>1</v>
      </c>
      <c r="S185">
        <v>1.05</v>
      </c>
      <c r="T185">
        <v>1</v>
      </c>
      <c r="U185">
        <v>1</v>
      </c>
      <c r="W185" s="44">
        <f t="shared" si="112"/>
        <v>2.899853706</v>
      </c>
      <c r="X185" s="44">
        <f t="shared" si="97"/>
        <v>2.7037944789999999</v>
      </c>
      <c r="Y185" s="44">
        <f t="shared" si="98"/>
        <v>2.3868708609999998</v>
      </c>
      <c r="Z185" s="44">
        <f t="shared" si="99"/>
        <v>1.6546628598000002</v>
      </c>
      <c r="AA185" s="44">
        <f t="shared" si="100"/>
        <v>1.652157426</v>
      </c>
      <c r="AB185" s="44">
        <f t="shared" si="101"/>
        <v>1.8285402239999999</v>
      </c>
      <c r="AC185" s="44">
        <f t="shared" si="102"/>
        <v>1.1641178130000001</v>
      </c>
      <c r="AD185" s="44">
        <f t="shared" si="103"/>
        <v>1.0641654730000001</v>
      </c>
      <c r="AF185" s="61" t="str">
        <f t="shared" si="113"/>
        <v>O12</v>
      </c>
      <c r="AG185" s="44">
        <f t="shared" si="114"/>
        <v>0.39724023369863015</v>
      </c>
      <c r="AH185" s="44">
        <f t="shared" si="104"/>
        <v>0.37038280534246576</v>
      </c>
      <c r="AI185" s="44">
        <f t="shared" si="105"/>
        <v>0.32696861109589037</v>
      </c>
      <c r="AJ185" s="44">
        <f t="shared" si="106"/>
        <v>0.22666614517808223</v>
      </c>
      <c r="AK185" s="44">
        <f t="shared" si="107"/>
        <v>0.32458888526522595</v>
      </c>
      <c r="AL185" s="44">
        <f t="shared" si="108"/>
        <v>0.35924169430255404</v>
      </c>
      <c r="AM185" s="44">
        <f t="shared" si="109"/>
        <v>0.28958154552238813</v>
      </c>
      <c r="AN185" s="44">
        <f t="shared" si="110"/>
        <v>0.26471777935323387</v>
      </c>
      <c r="AO185" s="44">
        <f t="shared" si="111"/>
        <v>0.30215732725138672</v>
      </c>
    </row>
    <row r="186" spans="1:41" ht="15.6" x14ac:dyDescent="0.25">
      <c r="A186" s="60"/>
      <c r="B186" s="62" t="s">
        <v>186</v>
      </c>
      <c r="C186" s="44">
        <v>2.2364635470000001</v>
      </c>
      <c r="D186" s="44">
        <v>2.6775467399999999</v>
      </c>
      <c r="E186" s="44">
        <v>2.12015295</v>
      </c>
      <c r="F186" s="44">
        <v>3.2920224669999998</v>
      </c>
      <c r="G186" s="44">
        <v>1.117642641</v>
      </c>
      <c r="H186" s="44">
        <v>0.53533381219999998</v>
      </c>
      <c r="I186" s="44">
        <v>0.84692806009999999</v>
      </c>
      <c r="J186" s="44">
        <v>0.7029995322</v>
      </c>
      <c r="K186" s="44">
        <f t="shared" si="96"/>
        <v>2.0633568411761121</v>
      </c>
      <c r="L186" s="58"/>
      <c r="N186">
        <v>1</v>
      </c>
      <c r="O186">
        <v>1</v>
      </c>
      <c r="P186">
        <v>1</v>
      </c>
      <c r="Q186">
        <v>1.02</v>
      </c>
      <c r="R186">
        <v>1</v>
      </c>
      <c r="S186">
        <v>1.05</v>
      </c>
      <c r="T186">
        <v>1</v>
      </c>
      <c r="U186">
        <v>1</v>
      </c>
      <c r="W186" s="44">
        <f t="shared" si="112"/>
        <v>2.2364635470000001</v>
      </c>
      <c r="X186" s="44">
        <f t="shared" si="97"/>
        <v>2.6775467399999999</v>
      </c>
      <c r="Y186" s="44">
        <f t="shared" si="98"/>
        <v>2.12015295</v>
      </c>
      <c r="Z186" s="44">
        <f t="shared" si="99"/>
        <v>3.3578629163399998</v>
      </c>
      <c r="AA186" s="44">
        <f t="shared" si="100"/>
        <v>1.117642641</v>
      </c>
      <c r="AB186" s="44">
        <f t="shared" si="101"/>
        <v>0.56210050281000001</v>
      </c>
      <c r="AC186" s="44">
        <f t="shared" si="102"/>
        <v>0.84692806009999999</v>
      </c>
      <c r="AD186" s="44">
        <f t="shared" si="103"/>
        <v>0.7029995322</v>
      </c>
      <c r="AF186" s="61" t="str">
        <f t="shared" si="113"/>
        <v>O13</v>
      </c>
      <c r="AG186" s="44">
        <f t="shared" si="114"/>
        <v>0.30636486945205482</v>
      </c>
      <c r="AH186" s="44">
        <f t="shared" si="104"/>
        <v>0.36678722465753427</v>
      </c>
      <c r="AI186" s="44">
        <f t="shared" si="105"/>
        <v>0.29043191095890414</v>
      </c>
      <c r="AJ186" s="44">
        <f t="shared" si="106"/>
        <v>0.45998122141643832</v>
      </c>
      <c r="AK186" s="44">
        <f t="shared" si="107"/>
        <v>0.21957615736738703</v>
      </c>
      <c r="AL186" s="44">
        <f t="shared" si="108"/>
        <v>0.11043231882318272</v>
      </c>
      <c r="AM186" s="44">
        <f t="shared" si="109"/>
        <v>0.21067862191542291</v>
      </c>
      <c r="AN186" s="44">
        <f t="shared" si="110"/>
        <v>0.17487550552238809</v>
      </c>
      <c r="AO186" s="44">
        <f t="shared" si="111"/>
        <v>0.31045225440086266</v>
      </c>
    </row>
    <row r="187" spans="1:41" ht="15.6" x14ac:dyDescent="0.25">
      <c r="A187" s="57"/>
      <c r="B187" s="62" t="s">
        <v>187</v>
      </c>
      <c r="C187" s="44">
        <v>1.4051765199999999</v>
      </c>
      <c r="D187" s="44">
        <v>2.06273222</v>
      </c>
      <c r="E187" s="44">
        <v>2.0511770249999999</v>
      </c>
      <c r="F187" s="44">
        <v>1.86467278</v>
      </c>
      <c r="G187" s="44">
        <v>0.8987935185</v>
      </c>
      <c r="H187" s="44">
        <v>0.59589648250000005</v>
      </c>
      <c r="I187" s="44">
        <v>0.30523329970000002</v>
      </c>
      <c r="J187" s="44">
        <v>0.29153490069999999</v>
      </c>
      <c r="K187" s="44">
        <f t="shared" si="96"/>
        <v>1.4188985937594665</v>
      </c>
      <c r="L187" s="44"/>
      <c r="N187">
        <v>1</v>
      </c>
      <c r="O187">
        <v>1</v>
      </c>
      <c r="P187">
        <v>1</v>
      </c>
      <c r="Q187">
        <v>1.02</v>
      </c>
      <c r="R187">
        <v>1</v>
      </c>
      <c r="S187">
        <v>1.05</v>
      </c>
      <c r="T187">
        <v>1</v>
      </c>
      <c r="U187">
        <v>1</v>
      </c>
      <c r="W187" s="44">
        <f t="shared" si="112"/>
        <v>1.4051765199999999</v>
      </c>
      <c r="X187" s="44">
        <f t="shared" si="97"/>
        <v>2.06273222</v>
      </c>
      <c r="Y187" s="44">
        <f t="shared" si="98"/>
        <v>2.0511770249999999</v>
      </c>
      <c r="Z187" s="44">
        <f t="shared" si="99"/>
        <v>1.9019662356</v>
      </c>
      <c r="AA187" s="44">
        <f t="shared" si="100"/>
        <v>0.8987935185</v>
      </c>
      <c r="AB187" s="44">
        <f t="shared" si="101"/>
        <v>0.62569130662500005</v>
      </c>
      <c r="AC187" s="44">
        <f t="shared" si="102"/>
        <v>0.30523329970000002</v>
      </c>
      <c r="AD187" s="44">
        <f t="shared" si="103"/>
        <v>0.29153490069999999</v>
      </c>
      <c r="AF187" s="61" t="str">
        <f t="shared" si="113"/>
        <v>O14</v>
      </c>
      <c r="AG187" s="44">
        <f t="shared" si="114"/>
        <v>0.19248993424657534</v>
      </c>
      <c r="AH187" s="44">
        <f t="shared" si="104"/>
        <v>0.28256605753424657</v>
      </c>
      <c r="AI187" s="44">
        <f t="shared" si="105"/>
        <v>0.28098315410958902</v>
      </c>
      <c r="AJ187" s="44">
        <f t="shared" si="106"/>
        <v>0.26054331994520546</v>
      </c>
      <c r="AK187" s="44">
        <f t="shared" si="107"/>
        <v>0.1765802590373281</v>
      </c>
      <c r="AL187" s="44">
        <f t="shared" si="108"/>
        <v>0.1229256005157171</v>
      </c>
      <c r="AM187" s="44">
        <f t="shared" si="109"/>
        <v>7.5928681517412944E-2</v>
      </c>
      <c r="AN187" s="44">
        <f t="shared" si="110"/>
        <v>7.2521119577114435E-2</v>
      </c>
      <c r="AO187" s="44">
        <f t="shared" si="111"/>
        <v>0.21128155630783141</v>
      </c>
    </row>
    <row r="188" spans="1:41" ht="15.6" x14ac:dyDescent="0.25">
      <c r="A188" s="60"/>
      <c r="B188" s="62" t="s">
        <v>188</v>
      </c>
      <c r="C188" s="44">
        <v>2.3041214939999999</v>
      </c>
      <c r="D188" s="44">
        <v>2.600413799</v>
      </c>
      <c r="E188" s="44">
        <v>1.640199661</v>
      </c>
      <c r="F188" s="44">
        <v>1.3492889400000001</v>
      </c>
      <c r="G188" s="44">
        <v>1.292561173</v>
      </c>
      <c r="H188" s="44">
        <v>0.60637515779999995</v>
      </c>
      <c r="I188" s="44">
        <v>0.62724345920000002</v>
      </c>
      <c r="J188" s="44">
        <v>0.75428503749999998</v>
      </c>
      <c r="K188" s="44">
        <f t="shared" si="96"/>
        <v>1.4363467714705209</v>
      </c>
      <c r="L188" s="58"/>
      <c r="N188">
        <v>1</v>
      </c>
      <c r="O188">
        <v>1</v>
      </c>
      <c r="P188">
        <v>1</v>
      </c>
      <c r="Q188">
        <v>1.02</v>
      </c>
      <c r="R188">
        <v>1</v>
      </c>
      <c r="S188">
        <v>1.05</v>
      </c>
      <c r="T188">
        <v>1</v>
      </c>
      <c r="U188">
        <v>1</v>
      </c>
      <c r="W188" s="44">
        <f t="shared" si="112"/>
        <v>2.3041214939999999</v>
      </c>
      <c r="X188" s="44">
        <f t="shared" si="97"/>
        <v>2.600413799</v>
      </c>
      <c r="Y188" s="44">
        <f t="shared" si="98"/>
        <v>1.640199661</v>
      </c>
      <c r="Z188" s="44">
        <f t="shared" si="99"/>
        <v>1.3762747188000002</v>
      </c>
      <c r="AA188" s="44">
        <f t="shared" si="100"/>
        <v>1.292561173</v>
      </c>
      <c r="AB188" s="44">
        <f t="shared" si="101"/>
        <v>0.63669391569</v>
      </c>
      <c r="AC188" s="44">
        <f t="shared" si="102"/>
        <v>0.62724345920000002</v>
      </c>
      <c r="AD188" s="44">
        <f t="shared" si="103"/>
        <v>0.75428503749999998</v>
      </c>
      <c r="AF188" s="61" t="str">
        <f t="shared" si="113"/>
        <v>O15</v>
      </c>
      <c r="AG188" s="44">
        <f t="shared" si="114"/>
        <v>0.31563308136986301</v>
      </c>
      <c r="AH188" s="44">
        <f t="shared" si="104"/>
        <v>0.35622106835616441</v>
      </c>
      <c r="AI188" s="44">
        <f t="shared" si="105"/>
        <v>0.22468488506849316</v>
      </c>
      <c r="AJ188" s="44">
        <f t="shared" si="106"/>
        <v>0.18853078339726032</v>
      </c>
      <c r="AK188" s="44">
        <f t="shared" si="107"/>
        <v>0.25394129135559923</v>
      </c>
      <c r="AL188" s="44">
        <f t="shared" si="108"/>
        <v>0.12508721329862477</v>
      </c>
      <c r="AM188" s="44">
        <f t="shared" si="109"/>
        <v>0.15603071124378112</v>
      </c>
      <c r="AN188" s="44">
        <f t="shared" si="110"/>
        <v>0.18763309390547264</v>
      </c>
      <c r="AO188" s="44">
        <f t="shared" si="111"/>
        <v>0.22333302619496662</v>
      </c>
    </row>
    <row r="189" spans="1:41" ht="15.6" x14ac:dyDescent="0.25">
      <c r="A189" s="57"/>
      <c r="B189" s="62" t="s">
        <v>189</v>
      </c>
      <c r="C189" s="44">
        <v>2.4144840240000001</v>
      </c>
      <c r="D189" s="44">
        <v>1.278348684</v>
      </c>
      <c r="E189" s="44">
        <v>1.0304296019999999</v>
      </c>
      <c r="F189" s="44">
        <v>2.3273165229999999</v>
      </c>
      <c r="G189" s="44">
        <v>0.49995884299999999</v>
      </c>
      <c r="H189" s="44">
        <v>1.107178926</v>
      </c>
      <c r="I189" s="44">
        <v>0.89106369019999998</v>
      </c>
      <c r="J189" s="44">
        <v>4.7683373090000002E-2</v>
      </c>
      <c r="K189" s="44">
        <f t="shared" si="96"/>
        <v>1.3781188943566838</v>
      </c>
      <c r="L189" s="44"/>
      <c r="N189">
        <v>1</v>
      </c>
      <c r="O189">
        <v>1</v>
      </c>
      <c r="P189">
        <v>1</v>
      </c>
      <c r="Q189">
        <v>1.02</v>
      </c>
      <c r="R189">
        <v>1</v>
      </c>
      <c r="S189">
        <v>1.05</v>
      </c>
      <c r="T189">
        <v>1</v>
      </c>
      <c r="U189">
        <v>1</v>
      </c>
      <c r="W189" s="44">
        <f t="shared" si="112"/>
        <v>2.4144840240000001</v>
      </c>
      <c r="X189" s="44">
        <f t="shared" si="97"/>
        <v>1.278348684</v>
      </c>
      <c r="Y189" s="44">
        <f t="shared" si="98"/>
        <v>1.0304296019999999</v>
      </c>
      <c r="Z189" s="44">
        <f t="shared" si="99"/>
        <v>2.3738628534599999</v>
      </c>
      <c r="AA189" s="44">
        <f t="shared" si="100"/>
        <v>0.49995884299999999</v>
      </c>
      <c r="AB189" s="44">
        <f t="shared" si="101"/>
        <v>1.1625378723000002</v>
      </c>
      <c r="AC189" s="44">
        <f t="shared" si="102"/>
        <v>0.89106369019999998</v>
      </c>
      <c r="AD189" s="44">
        <f t="shared" si="103"/>
        <v>4.7683373090000002E-2</v>
      </c>
      <c r="AF189" s="61" t="str">
        <f t="shared" si="113"/>
        <v>O16</v>
      </c>
      <c r="AG189" s="44">
        <f t="shared" si="114"/>
        <v>0.33075123616438357</v>
      </c>
      <c r="AH189" s="44">
        <f t="shared" si="104"/>
        <v>0.17511625808219178</v>
      </c>
      <c r="AI189" s="44">
        <f t="shared" si="105"/>
        <v>0.14115474</v>
      </c>
      <c r="AJ189" s="44">
        <f t="shared" si="106"/>
        <v>0.32518669225479452</v>
      </c>
      <c r="AK189" s="44">
        <f t="shared" si="107"/>
        <v>9.8223741257367381E-2</v>
      </c>
      <c r="AL189" s="44">
        <f t="shared" si="108"/>
        <v>0.22839643856581537</v>
      </c>
      <c r="AM189" s="44">
        <f t="shared" si="109"/>
        <v>0.22165763437810948</v>
      </c>
      <c r="AN189" s="44">
        <f t="shared" si="110"/>
        <v>1.1861535594527364E-2</v>
      </c>
      <c r="AO189" s="44">
        <f t="shared" si="111"/>
        <v>0.20821319038459804</v>
      </c>
    </row>
    <row r="190" spans="1:41" ht="15.6" x14ac:dyDescent="0.25">
      <c r="A190" s="60"/>
      <c r="B190" s="62" t="s">
        <v>190</v>
      </c>
      <c r="C190" s="44">
        <v>3.186815739</v>
      </c>
      <c r="D190" s="44">
        <v>2.4512548449999998</v>
      </c>
      <c r="E190" s="44">
        <v>2.905927658</v>
      </c>
      <c r="F190" s="44">
        <v>2.4070265289999999</v>
      </c>
      <c r="G190" s="44">
        <v>0.47831150890000002</v>
      </c>
      <c r="H190" s="44">
        <v>0.61459559200000002</v>
      </c>
      <c r="I190" s="44">
        <v>0.53062200550000005</v>
      </c>
      <c r="J190" s="44">
        <v>0.64667713640000002</v>
      </c>
      <c r="K190" s="44">
        <f t="shared" si="96"/>
        <v>1.8879550555228719</v>
      </c>
      <c r="L190" s="58"/>
      <c r="N190">
        <v>1</v>
      </c>
      <c r="O190">
        <v>1</v>
      </c>
      <c r="P190">
        <v>1</v>
      </c>
      <c r="Q190">
        <v>1.02</v>
      </c>
      <c r="R190">
        <v>1</v>
      </c>
      <c r="S190">
        <v>1.05</v>
      </c>
      <c r="T190">
        <v>1</v>
      </c>
      <c r="U190">
        <v>1</v>
      </c>
      <c r="W190" s="44">
        <f t="shared" si="112"/>
        <v>3.186815739</v>
      </c>
      <c r="X190" s="44">
        <f t="shared" si="97"/>
        <v>2.4512548449999998</v>
      </c>
      <c r="Y190" s="44">
        <f t="shared" si="98"/>
        <v>2.905927658</v>
      </c>
      <c r="Z190" s="44">
        <f t="shared" si="99"/>
        <v>2.4551670595799999</v>
      </c>
      <c r="AA190" s="44">
        <f t="shared" si="100"/>
        <v>0.47831150890000002</v>
      </c>
      <c r="AB190" s="44">
        <f t="shared" si="101"/>
        <v>0.64532537160000003</v>
      </c>
      <c r="AC190" s="44">
        <f t="shared" si="102"/>
        <v>0.53062200550000005</v>
      </c>
      <c r="AD190" s="44">
        <f t="shared" si="103"/>
        <v>0.64667713640000002</v>
      </c>
      <c r="AF190" s="61" t="str">
        <f t="shared" si="113"/>
        <v>O17</v>
      </c>
      <c r="AG190" s="44">
        <f t="shared" si="114"/>
        <v>0.43655010123287674</v>
      </c>
      <c r="AH190" s="44">
        <f t="shared" si="104"/>
        <v>0.33578833493150684</v>
      </c>
      <c r="AI190" s="44">
        <f t="shared" si="105"/>
        <v>0.39807228191780825</v>
      </c>
      <c r="AJ190" s="44">
        <f t="shared" si="106"/>
        <v>0.33632425473698629</v>
      </c>
      <c r="AK190" s="44">
        <f t="shared" si="107"/>
        <v>9.3970826895874271E-2</v>
      </c>
      <c r="AL190" s="44">
        <f t="shared" si="108"/>
        <v>0.12678298066797644</v>
      </c>
      <c r="AM190" s="44">
        <f t="shared" si="109"/>
        <v>0.13199552375621892</v>
      </c>
      <c r="AN190" s="44">
        <f t="shared" si="110"/>
        <v>0.1608649593034826</v>
      </c>
      <c r="AO190" s="44">
        <f t="shared" si="111"/>
        <v>0.27748101810286013</v>
      </c>
    </row>
    <row r="191" spans="1:41" ht="15.6" x14ac:dyDescent="0.25">
      <c r="A191" s="57"/>
      <c r="B191" s="62" t="s">
        <v>191</v>
      </c>
      <c r="C191" s="44">
        <v>3.180816412</v>
      </c>
      <c r="D191" s="44">
        <v>2.74712348</v>
      </c>
      <c r="E191" s="44">
        <v>2.7429747579999999</v>
      </c>
      <c r="F191" s="44">
        <v>2.8316738610000001</v>
      </c>
      <c r="G191" s="44">
        <v>0.95737743379999996</v>
      </c>
      <c r="H191" s="44">
        <v>0.3530063927</v>
      </c>
      <c r="I191" s="44">
        <v>0.76915210489999997</v>
      </c>
      <c r="J191" s="44">
        <v>0.86348533630000002</v>
      </c>
      <c r="K191" s="44">
        <f t="shared" si="96"/>
        <v>2.0934759463372301</v>
      </c>
      <c r="L191" s="44"/>
      <c r="N191">
        <v>1</v>
      </c>
      <c r="O191">
        <v>1</v>
      </c>
      <c r="P191">
        <v>1</v>
      </c>
      <c r="Q191">
        <v>1.02</v>
      </c>
      <c r="R191">
        <v>1</v>
      </c>
      <c r="S191">
        <v>1.05</v>
      </c>
      <c r="T191">
        <v>1</v>
      </c>
      <c r="U191">
        <v>1</v>
      </c>
      <c r="W191" s="44">
        <f t="shared" si="112"/>
        <v>3.180816412</v>
      </c>
      <c r="X191" s="44">
        <f t="shared" si="97"/>
        <v>2.74712348</v>
      </c>
      <c r="Y191" s="44">
        <f t="shared" si="98"/>
        <v>2.7429747579999999</v>
      </c>
      <c r="Z191" s="44">
        <f t="shared" si="99"/>
        <v>2.8883073382200002</v>
      </c>
      <c r="AA191" s="44">
        <f t="shared" si="100"/>
        <v>0.95737743379999996</v>
      </c>
      <c r="AB191" s="44">
        <f t="shared" si="101"/>
        <v>0.37065671233500003</v>
      </c>
      <c r="AC191" s="44">
        <f t="shared" si="102"/>
        <v>0.76915210489999997</v>
      </c>
      <c r="AD191" s="44">
        <f t="shared" si="103"/>
        <v>0.86348533630000002</v>
      </c>
      <c r="AF191" s="61" t="str">
        <f t="shared" si="113"/>
        <v>O18</v>
      </c>
      <c r="AG191" s="44">
        <f t="shared" si="114"/>
        <v>0.43572827561643834</v>
      </c>
      <c r="AH191" s="44">
        <f t="shared" si="104"/>
        <v>0.37631828493150687</v>
      </c>
      <c r="AI191" s="44">
        <f t="shared" si="105"/>
        <v>0.37574996684931505</v>
      </c>
      <c r="AJ191" s="44">
        <f t="shared" si="106"/>
        <v>0.39565853948219182</v>
      </c>
      <c r="AK191" s="44">
        <f t="shared" si="107"/>
        <v>0.18808986911591355</v>
      </c>
      <c r="AL191" s="44">
        <f t="shared" si="108"/>
        <v>7.2820572167976438E-2</v>
      </c>
      <c r="AM191" s="44">
        <f t="shared" si="109"/>
        <v>0.19133136937810946</v>
      </c>
      <c r="AN191" s="44">
        <f t="shared" si="110"/>
        <v>0.21479734733830849</v>
      </c>
      <c r="AO191" s="44">
        <f t="shared" si="111"/>
        <v>0.31268212884493862</v>
      </c>
    </row>
    <row r="192" spans="1:41" ht="15.6" x14ac:dyDescent="0.25">
      <c r="A192" s="60"/>
      <c r="B192" s="62" t="s">
        <v>192</v>
      </c>
      <c r="C192" s="44">
        <v>0.1404307336</v>
      </c>
      <c r="D192" s="44">
        <v>0.15092642610000001</v>
      </c>
      <c r="E192" s="44">
        <v>0.41504815220000002</v>
      </c>
      <c r="F192" s="44">
        <v>2.5381472110000001</v>
      </c>
      <c r="G192" s="44">
        <v>0.77594172949999995</v>
      </c>
      <c r="H192" s="44">
        <v>0.39848148820000001</v>
      </c>
      <c r="I192" s="44">
        <v>0.95998424289999995</v>
      </c>
      <c r="J192" s="44">
        <v>1.1091048720000001</v>
      </c>
      <c r="K192" s="44">
        <f t="shared" si="96"/>
        <v>1.1199895911983482</v>
      </c>
      <c r="L192" s="58"/>
      <c r="N192">
        <v>1</v>
      </c>
      <c r="O192">
        <v>1</v>
      </c>
      <c r="P192">
        <v>1</v>
      </c>
      <c r="Q192">
        <v>1.02</v>
      </c>
      <c r="R192">
        <v>1</v>
      </c>
      <c r="S192">
        <v>1.05</v>
      </c>
      <c r="T192">
        <v>1</v>
      </c>
      <c r="U192">
        <v>1</v>
      </c>
      <c r="W192" s="44">
        <f t="shared" si="112"/>
        <v>0.1404307336</v>
      </c>
      <c r="X192" s="44">
        <f t="shared" si="97"/>
        <v>0.15092642610000001</v>
      </c>
      <c r="Y192" s="44">
        <f t="shared" si="98"/>
        <v>0.41504815220000002</v>
      </c>
      <c r="Z192" s="44">
        <f t="shared" si="99"/>
        <v>2.5889101552200002</v>
      </c>
      <c r="AA192" s="44">
        <f t="shared" si="100"/>
        <v>0.77594172949999995</v>
      </c>
      <c r="AB192" s="44">
        <f t="shared" si="101"/>
        <v>0.41840556261</v>
      </c>
      <c r="AC192" s="44">
        <f t="shared" si="102"/>
        <v>0.95998424289999995</v>
      </c>
      <c r="AD192" s="44">
        <f t="shared" si="103"/>
        <v>1.1091048720000001</v>
      </c>
      <c r="AF192" s="61" t="str">
        <f t="shared" si="113"/>
        <v>O19</v>
      </c>
      <c r="AG192" s="44">
        <f t="shared" si="114"/>
        <v>1.9237086794520547E-2</v>
      </c>
      <c r="AH192" s="44">
        <f t="shared" si="104"/>
        <v>2.0674852890410961E-2</v>
      </c>
      <c r="AI192" s="44">
        <f t="shared" si="105"/>
        <v>5.6855911260273978E-2</v>
      </c>
      <c r="AJ192" s="44">
        <f t="shared" si="106"/>
        <v>0.35464522674246579</v>
      </c>
      <c r="AK192" s="44">
        <f t="shared" si="107"/>
        <v>0.15244434764243614</v>
      </c>
      <c r="AL192" s="44">
        <f t="shared" si="108"/>
        <v>8.2201485777996075E-2</v>
      </c>
      <c r="AM192" s="44">
        <f t="shared" si="109"/>
        <v>0.23880205047263683</v>
      </c>
      <c r="AN192" s="44">
        <f t="shared" si="110"/>
        <v>0.27589673432835826</v>
      </c>
      <c r="AO192" s="44">
        <f t="shared" si="111"/>
        <v>0.18152654446867975</v>
      </c>
    </row>
    <row r="193" spans="1:41" ht="15.6" x14ac:dyDescent="0.25">
      <c r="A193" s="57"/>
      <c r="B193" s="62" t="s">
        <v>193</v>
      </c>
      <c r="C193" s="44">
        <v>0.41572359199999998</v>
      </c>
      <c r="D193" s="44">
        <v>0.58941531179999995</v>
      </c>
      <c r="E193" s="44">
        <v>0.38195884229999999</v>
      </c>
      <c r="F193" s="44">
        <v>3.1068351270000001</v>
      </c>
      <c r="G193" s="44">
        <v>1.585007429</v>
      </c>
      <c r="H193" s="44">
        <v>1.2116177079999999</v>
      </c>
      <c r="I193" s="44">
        <v>1.0610676999999999</v>
      </c>
      <c r="J193" s="44">
        <v>1.0564972159999999</v>
      </c>
      <c r="K193" s="44">
        <f t="shared" si="96"/>
        <v>1.5132629486566711</v>
      </c>
      <c r="L193" s="44"/>
      <c r="N193">
        <v>1</v>
      </c>
      <c r="O193">
        <v>1</v>
      </c>
      <c r="P193">
        <v>1</v>
      </c>
      <c r="Q193">
        <v>1.02</v>
      </c>
      <c r="R193">
        <v>1</v>
      </c>
      <c r="S193">
        <v>1.05</v>
      </c>
      <c r="T193">
        <v>1</v>
      </c>
      <c r="U193">
        <v>1</v>
      </c>
      <c r="W193" s="44">
        <f t="shared" si="112"/>
        <v>0.41572359199999998</v>
      </c>
      <c r="X193" s="44">
        <f t="shared" si="97"/>
        <v>0.58941531179999995</v>
      </c>
      <c r="Y193" s="44">
        <f t="shared" si="98"/>
        <v>0.38195884229999999</v>
      </c>
      <c r="Z193" s="44">
        <f t="shared" si="99"/>
        <v>3.1689718295400002</v>
      </c>
      <c r="AA193" s="44">
        <f t="shared" si="100"/>
        <v>1.585007429</v>
      </c>
      <c r="AB193" s="44">
        <f t="shared" si="101"/>
        <v>1.2721985934</v>
      </c>
      <c r="AC193" s="44">
        <f t="shared" si="102"/>
        <v>1.0610676999999999</v>
      </c>
      <c r="AD193" s="44">
        <f t="shared" si="103"/>
        <v>1.0564972159999999</v>
      </c>
      <c r="AF193" s="61" t="str">
        <f t="shared" si="113"/>
        <v>O20</v>
      </c>
      <c r="AG193" s="44">
        <f t="shared" si="114"/>
        <v>5.6948437260273974E-2</v>
      </c>
      <c r="AH193" s="44">
        <f t="shared" si="104"/>
        <v>8.0741823534246568E-2</v>
      </c>
      <c r="AI193" s="44">
        <f t="shared" si="105"/>
        <v>5.2323129082191784E-2</v>
      </c>
      <c r="AJ193" s="44">
        <f t="shared" si="106"/>
        <v>0.43410573007397263</v>
      </c>
      <c r="AK193" s="44">
        <f t="shared" si="107"/>
        <v>0.31139635147347744</v>
      </c>
      <c r="AL193" s="44">
        <f t="shared" si="108"/>
        <v>0.24994078455795679</v>
      </c>
      <c r="AM193" s="44">
        <f t="shared" si="109"/>
        <v>0.26394718905472636</v>
      </c>
      <c r="AN193" s="44">
        <f t="shared" si="110"/>
        <v>0.26281025273631842</v>
      </c>
      <c r="AO193" s="44">
        <f t="shared" si="111"/>
        <v>0.24687629965386745</v>
      </c>
    </row>
    <row r="194" spans="1:41" ht="15.6" x14ac:dyDescent="0.25">
      <c r="A194" s="60"/>
      <c r="B194" s="62" t="s">
        <v>194</v>
      </c>
      <c r="C194" s="44">
        <v>1.931815147</v>
      </c>
      <c r="D194" s="44">
        <v>2.1100606919999998</v>
      </c>
      <c r="E194" s="44">
        <v>1.198764086</v>
      </c>
      <c r="F194" s="44">
        <v>2.1812372209999999</v>
      </c>
      <c r="G194" s="44">
        <v>0.79394406080000002</v>
      </c>
      <c r="H194" s="44">
        <v>0.61245101690000003</v>
      </c>
      <c r="I194" s="44">
        <v>0.48389750720000002</v>
      </c>
      <c r="J194" s="44">
        <v>0.7824021578</v>
      </c>
      <c r="K194" s="44">
        <f t="shared" si="96"/>
        <v>1.4403580060039394</v>
      </c>
      <c r="L194" s="58"/>
      <c r="N194">
        <v>1</v>
      </c>
      <c r="O194">
        <v>1</v>
      </c>
      <c r="P194">
        <v>1</v>
      </c>
      <c r="Q194">
        <v>1.02</v>
      </c>
      <c r="R194">
        <v>1</v>
      </c>
      <c r="S194">
        <v>1.05</v>
      </c>
      <c r="T194">
        <v>1</v>
      </c>
      <c r="U194">
        <v>1</v>
      </c>
      <c r="W194" s="44">
        <f t="shared" si="112"/>
        <v>1.931815147</v>
      </c>
      <c r="X194" s="44">
        <f t="shared" si="97"/>
        <v>2.1100606919999998</v>
      </c>
      <c r="Y194" s="44">
        <f t="shared" si="98"/>
        <v>1.198764086</v>
      </c>
      <c r="Z194" s="44">
        <f t="shared" si="99"/>
        <v>2.2248619654200001</v>
      </c>
      <c r="AA194" s="44">
        <f t="shared" si="100"/>
        <v>0.79394406080000002</v>
      </c>
      <c r="AB194" s="44">
        <f t="shared" si="101"/>
        <v>0.64307356774500002</v>
      </c>
      <c r="AC194" s="44">
        <f t="shared" si="102"/>
        <v>0.48389750720000002</v>
      </c>
      <c r="AD194" s="44">
        <f t="shared" si="103"/>
        <v>0.7824021578</v>
      </c>
      <c r="AF194" s="61" t="str">
        <f t="shared" si="113"/>
        <v>O21</v>
      </c>
      <c r="AG194" s="44">
        <f t="shared" si="114"/>
        <v>0.26463221191780822</v>
      </c>
      <c r="AH194" s="44">
        <f t="shared" si="104"/>
        <v>0.2890494098630137</v>
      </c>
      <c r="AI194" s="44">
        <f t="shared" si="105"/>
        <v>0.16421425835616438</v>
      </c>
      <c r="AJ194" s="44">
        <f t="shared" si="106"/>
        <v>0.30477561170136991</v>
      </c>
      <c r="AK194" s="44">
        <f t="shared" si="107"/>
        <v>0.15598115143418467</v>
      </c>
      <c r="AL194" s="44">
        <f t="shared" si="108"/>
        <v>0.12634058305402751</v>
      </c>
      <c r="AM194" s="44">
        <f t="shared" si="109"/>
        <v>0.12037251422885574</v>
      </c>
      <c r="AN194" s="44">
        <f t="shared" si="110"/>
        <v>0.19462740243781096</v>
      </c>
      <c r="AO194" s="44">
        <f t="shared" si="111"/>
        <v>0.21935311336254695</v>
      </c>
    </row>
    <row r="195" spans="1:41" ht="15.6" x14ac:dyDescent="0.25">
      <c r="A195" s="57"/>
      <c r="B195" s="62" t="s">
        <v>195</v>
      </c>
      <c r="C195" s="44">
        <v>0.53829896450000003</v>
      </c>
      <c r="D195" s="44">
        <v>0.60536223649999998</v>
      </c>
      <c r="E195" s="44">
        <v>0.27043274039999998</v>
      </c>
      <c r="F195" s="44">
        <v>2.9886677270000002</v>
      </c>
      <c r="G195" s="44">
        <v>0.86896234750000001</v>
      </c>
      <c r="H195" s="44">
        <v>0.67840975520000002</v>
      </c>
      <c r="I195" s="44">
        <v>0.39939540620000002</v>
      </c>
      <c r="J195" s="44">
        <v>0.21047416329999999</v>
      </c>
      <c r="K195" s="44">
        <f t="shared" si="96"/>
        <v>1.2182282305675987</v>
      </c>
      <c r="L195" s="44"/>
      <c r="N195">
        <v>1</v>
      </c>
      <c r="O195">
        <v>1</v>
      </c>
      <c r="P195">
        <v>1</v>
      </c>
      <c r="Q195">
        <v>1.02</v>
      </c>
      <c r="R195">
        <v>1</v>
      </c>
      <c r="S195">
        <v>1.05</v>
      </c>
      <c r="T195">
        <v>1</v>
      </c>
      <c r="U195">
        <v>1</v>
      </c>
      <c r="W195" s="44">
        <f t="shared" si="112"/>
        <v>0.53829896450000003</v>
      </c>
      <c r="X195" s="44">
        <f t="shared" si="97"/>
        <v>0.60536223649999998</v>
      </c>
      <c r="Y195" s="44">
        <f t="shared" si="98"/>
        <v>0.27043274039999998</v>
      </c>
      <c r="Z195" s="44">
        <f t="shared" si="99"/>
        <v>3.04844108154</v>
      </c>
      <c r="AA195" s="44">
        <f t="shared" si="100"/>
        <v>0.86896234750000001</v>
      </c>
      <c r="AB195" s="44">
        <f t="shared" si="101"/>
        <v>0.71233024296000003</v>
      </c>
      <c r="AC195" s="44">
        <f t="shared" si="102"/>
        <v>0.39939540620000002</v>
      </c>
      <c r="AD195" s="44">
        <f t="shared" si="103"/>
        <v>0.21047416329999999</v>
      </c>
      <c r="AF195" s="61" t="str">
        <f t="shared" si="113"/>
        <v>O22</v>
      </c>
      <c r="AG195" s="44">
        <f t="shared" si="114"/>
        <v>7.3739584178082199E-2</v>
      </c>
      <c r="AH195" s="44">
        <f t="shared" si="104"/>
        <v>8.2926333767123286E-2</v>
      </c>
      <c r="AI195" s="44">
        <f t="shared" si="105"/>
        <v>3.7045580876712329E-2</v>
      </c>
      <c r="AJ195" s="44">
        <f t="shared" si="106"/>
        <v>0.41759466870410961</v>
      </c>
      <c r="AK195" s="44">
        <f t="shared" si="107"/>
        <v>0.17071951817288802</v>
      </c>
      <c r="AL195" s="44">
        <f t="shared" si="108"/>
        <v>0.13994700254616896</v>
      </c>
      <c r="AM195" s="44">
        <f t="shared" si="109"/>
        <v>9.9352091094527376E-2</v>
      </c>
      <c r="AN195" s="44">
        <f t="shared" si="110"/>
        <v>5.2356757039801E-2</v>
      </c>
      <c r="AO195" s="44">
        <f t="shared" si="111"/>
        <v>0.18495760323719856</v>
      </c>
    </row>
    <row r="196" spans="1:41" ht="15.6" x14ac:dyDescent="0.25">
      <c r="A196" s="60"/>
      <c r="B196" s="62" t="s">
        <v>196</v>
      </c>
      <c r="C196" s="44">
        <v>0.48976913090000002</v>
      </c>
      <c r="D196" s="44">
        <v>0.14913725850000001</v>
      </c>
      <c r="E196" s="44">
        <v>0.1511304826</v>
      </c>
      <c r="F196" s="44">
        <v>2.079318523</v>
      </c>
      <c r="G196" s="44">
        <v>0.58798402549999995</v>
      </c>
      <c r="H196" s="44">
        <v>0.48357540370000002</v>
      </c>
      <c r="I196" s="44">
        <v>2.587295324E-2</v>
      </c>
      <c r="J196" s="44">
        <v>0.1244891062</v>
      </c>
      <c r="K196" s="44">
        <f t="shared" si="96"/>
        <v>0.80058448216414246</v>
      </c>
      <c r="L196" s="58"/>
      <c r="N196">
        <v>1</v>
      </c>
      <c r="O196">
        <v>1</v>
      </c>
      <c r="P196">
        <v>1</v>
      </c>
      <c r="Q196">
        <v>1.02</v>
      </c>
      <c r="R196">
        <v>1</v>
      </c>
      <c r="S196">
        <v>1.05</v>
      </c>
      <c r="T196">
        <v>1</v>
      </c>
      <c r="U196">
        <v>1</v>
      </c>
      <c r="W196" s="44">
        <f t="shared" si="112"/>
        <v>0.48976913090000002</v>
      </c>
      <c r="X196" s="44">
        <f t="shared" si="97"/>
        <v>0.14913725850000001</v>
      </c>
      <c r="Y196" s="44">
        <f t="shared" si="98"/>
        <v>0.1511304826</v>
      </c>
      <c r="Z196" s="44">
        <f t="shared" si="99"/>
        <v>2.1209048934600001</v>
      </c>
      <c r="AA196" s="44">
        <f t="shared" si="100"/>
        <v>0.58798402549999995</v>
      </c>
      <c r="AB196" s="44">
        <f t="shared" si="101"/>
        <v>0.50775417388499999</v>
      </c>
      <c r="AC196" s="44">
        <f t="shared" si="102"/>
        <v>2.587295324E-2</v>
      </c>
      <c r="AD196" s="44">
        <f t="shared" si="103"/>
        <v>0.1244891062</v>
      </c>
      <c r="AF196" s="61" t="str">
        <f t="shared" si="113"/>
        <v>O23</v>
      </c>
      <c r="AG196" s="44">
        <f t="shared" si="114"/>
        <v>6.7091661767123292E-2</v>
      </c>
      <c r="AH196" s="44">
        <f t="shared" si="104"/>
        <v>2.0429761438356165E-2</v>
      </c>
      <c r="AI196" s="44">
        <f t="shared" si="105"/>
        <v>2.0702805835616438E-2</v>
      </c>
      <c r="AJ196" s="44">
        <f t="shared" si="106"/>
        <v>0.2905349169123288</v>
      </c>
      <c r="AK196" s="44">
        <f t="shared" si="107"/>
        <v>0.11551749027504911</v>
      </c>
      <c r="AL196" s="44">
        <f t="shared" si="108"/>
        <v>9.9755240448919452E-2</v>
      </c>
      <c r="AM196" s="44">
        <f t="shared" si="109"/>
        <v>6.4360580199004985E-3</v>
      </c>
      <c r="AN196" s="44">
        <f t="shared" si="110"/>
        <v>3.0967439353233834E-2</v>
      </c>
      <c r="AO196" s="44">
        <f t="shared" si="111"/>
        <v>0.11975805088026391</v>
      </c>
    </row>
    <row r="197" spans="1:41" ht="15.6" x14ac:dyDescent="0.25">
      <c r="A197" s="57"/>
      <c r="B197" s="62" t="s">
        <v>197</v>
      </c>
      <c r="C197" s="44">
        <v>2.351240158</v>
      </c>
      <c r="D197" s="44">
        <v>1.966880441</v>
      </c>
      <c r="E197" s="44">
        <v>1.9424858089999999</v>
      </c>
      <c r="F197" s="44">
        <v>2.5686633589999999</v>
      </c>
      <c r="G197" s="44">
        <v>0.70835834740000003</v>
      </c>
      <c r="H197" s="44">
        <v>0.6747978926</v>
      </c>
      <c r="I197" s="44">
        <v>1.2971589569999999</v>
      </c>
      <c r="J197" s="44">
        <v>1.0519307849999999</v>
      </c>
      <c r="K197" s="44">
        <f t="shared" si="96"/>
        <v>1.7785078382556547</v>
      </c>
      <c r="L197" s="44"/>
      <c r="N197">
        <v>1</v>
      </c>
      <c r="O197">
        <v>1</v>
      </c>
      <c r="P197">
        <v>1</v>
      </c>
      <c r="Q197">
        <v>1.02</v>
      </c>
      <c r="R197">
        <v>1</v>
      </c>
      <c r="S197">
        <v>1.05</v>
      </c>
      <c r="T197">
        <v>1</v>
      </c>
      <c r="U197">
        <v>1</v>
      </c>
      <c r="W197" s="44">
        <f t="shared" si="112"/>
        <v>2.351240158</v>
      </c>
      <c r="X197" s="44">
        <f t="shared" si="97"/>
        <v>1.966880441</v>
      </c>
      <c r="Y197" s="44">
        <f t="shared" si="98"/>
        <v>1.9424858089999999</v>
      </c>
      <c r="Z197" s="44">
        <f t="shared" si="99"/>
        <v>2.6200366261800001</v>
      </c>
      <c r="AA197" s="44">
        <f t="shared" si="100"/>
        <v>0.70835834740000003</v>
      </c>
      <c r="AB197" s="44">
        <f t="shared" si="101"/>
        <v>0.70853778723000005</v>
      </c>
      <c r="AC197" s="44">
        <f t="shared" si="102"/>
        <v>1.2971589569999999</v>
      </c>
      <c r="AD197" s="44">
        <f t="shared" si="103"/>
        <v>1.0519307849999999</v>
      </c>
      <c r="AF197" s="61" t="str">
        <f t="shared" si="113"/>
        <v>O24</v>
      </c>
      <c r="AG197" s="44">
        <f t="shared" si="114"/>
        <v>0.32208769287671235</v>
      </c>
      <c r="AH197" s="44">
        <f t="shared" si="104"/>
        <v>0.26943567684931508</v>
      </c>
      <c r="AI197" s="44">
        <f t="shared" si="105"/>
        <v>0.26609394643835615</v>
      </c>
      <c r="AJ197" s="44">
        <f t="shared" si="106"/>
        <v>0.35890912687397264</v>
      </c>
      <c r="AK197" s="44">
        <f t="shared" si="107"/>
        <v>0.13916666943025541</v>
      </c>
      <c r="AL197" s="44">
        <f t="shared" si="108"/>
        <v>0.13920192283497054</v>
      </c>
      <c r="AM197" s="44">
        <f t="shared" si="109"/>
        <v>0.32267635746268658</v>
      </c>
      <c r="AN197" s="44">
        <f t="shared" si="110"/>
        <v>0.26167432462686568</v>
      </c>
      <c r="AO197" s="44">
        <f t="shared" si="111"/>
        <v>0.27497088727665131</v>
      </c>
    </row>
    <row r="198" spans="1:41" ht="15.6" x14ac:dyDescent="0.25">
      <c r="A198" s="60"/>
      <c r="B198" s="62" t="s">
        <v>198</v>
      </c>
      <c r="C198" s="44">
        <v>1.9660468099999999</v>
      </c>
      <c r="D198" s="44">
        <v>1.2816722389999999</v>
      </c>
      <c r="E198" s="44">
        <v>1.4028911589999999</v>
      </c>
      <c r="F198" s="44">
        <v>2.2912528509999999</v>
      </c>
      <c r="G198" s="44">
        <v>0.70582348110000004</v>
      </c>
      <c r="H198" s="44">
        <v>0.65469348429999996</v>
      </c>
      <c r="I198" s="44">
        <v>1.3700777289999999</v>
      </c>
      <c r="J198" s="44">
        <v>1.090899348</v>
      </c>
      <c r="K198" s="44">
        <f t="shared" si="96"/>
        <v>1.5141367739631517</v>
      </c>
      <c r="L198" s="58"/>
      <c r="N198">
        <v>1</v>
      </c>
      <c r="O198">
        <v>1</v>
      </c>
      <c r="P198">
        <v>1</v>
      </c>
      <c r="Q198">
        <v>1.02</v>
      </c>
      <c r="R198">
        <v>1</v>
      </c>
      <c r="S198">
        <v>1.05</v>
      </c>
      <c r="T198">
        <v>1</v>
      </c>
      <c r="U198">
        <v>1</v>
      </c>
      <c r="W198" s="44">
        <f t="shared" si="112"/>
        <v>1.9660468099999999</v>
      </c>
      <c r="X198" s="44">
        <f t="shared" si="97"/>
        <v>1.2816722389999999</v>
      </c>
      <c r="Y198" s="44">
        <f t="shared" si="98"/>
        <v>1.4028911589999999</v>
      </c>
      <c r="Z198" s="44">
        <f t="shared" si="99"/>
        <v>2.3370779080199999</v>
      </c>
      <c r="AA198" s="44">
        <f t="shared" si="100"/>
        <v>0.70582348110000004</v>
      </c>
      <c r="AB198" s="44">
        <f t="shared" si="101"/>
        <v>0.68742815851499994</v>
      </c>
      <c r="AC198" s="44">
        <f t="shared" si="102"/>
        <v>1.3700777289999999</v>
      </c>
      <c r="AD198" s="44">
        <f t="shared" si="103"/>
        <v>1.090899348</v>
      </c>
      <c r="AF198" s="61" t="str">
        <f t="shared" si="113"/>
        <v>O25</v>
      </c>
      <c r="AG198" s="44">
        <f t="shared" si="114"/>
        <v>0.26932148082191781</v>
      </c>
      <c r="AH198" s="44">
        <f t="shared" si="104"/>
        <v>0.17557153958904109</v>
      </c>
      <c r="AI198" s="44">
        <f t="shared" si="105"/>
        <v>0.19217687109589041</v>
      </c>
      <c r="AJ198" s="44">
        <f t="shared" si="106"/>
        <v>0.3201476586328767</v>
      </c>
      <c r="AK198" s="44">
        <f t="shared" si="107"/>
        <v>0.13866866033398823</v>
      </c>
      <c r="AL198" s="44">
        <f t="shared" si="108"/>
        <v>0.13505464803831041</v>
      </c>
      <c r="AM198" s="44">
        <f t="shared" si="109"/>
        <v>0.34081535547263681</v>
      </c>
      <c r="AN198" s="44">
        <f t="shared" si="110"/>
        <v>0.27136799701492542</v>
      </c>
      <c r="AO198" s="44">
        <f t="shared" si="111"/>
        <v>0.23939188563025826</v>
      </c>
    </row>
    <row r="199" spans="1:41" ht="15.6" x14ac:dyDescent="0.25">
      <c r="A199" s="57"/>
      <c r="B199" s="62" t="s">
        <v>199</v>
      </c>
      <c r="C199" s="44">
        <v>2.1308434009999999</v>
      </c>
      <c r="D199" s="44">
        <v>1.3040531870000001</v>
      </c>
      <c r="E199" s="44">
        <v>1.4677413699999999</v>
      </c>
      <c r="F199" s="44">
        <v>2.57115984</v>
      </c>
      <c r="G199" s="44">
        <v>0.19907499849999999</v>
      </c>
      <c r="H199" s="44">
        <v>0.6009750962</v>
      </c>
      <c r="I199" s="44">
        <v>1.469266057</v>
      </c>
      <c r="J199" s="44">
        <v>1.3804044719999999</v>
      </c>
      <c r="K199" s="44">
        <f t="shared" si="96"/>
        <v>1.5750592246341806</v>
      </c>
      <c r="L199" s="44"/>
      <c r="N199">
        <v>1</v>
      </c>
      <c r="O199">
        <v>1</v>
      </c>
      <c r="P199">
        <v>1</v>
      </c>
      <c r="Q199">
        <v>1.02</v>
      </c>
      <c r="R199">
        <v>1</v>
      </c>
      <c r="S199">
        <v>1.05</v>
      </c>
      <c r="T199">
        <v>1</v>
      </c>
      <c r="U199">
        <v>1</v>
      </c>
      <c r="W199" s="44">
        <f t="shared" si="112"/>
        <v>2.1308434009999999</v>
      </c>
      <c r="X199" s="44">
        <f t="shared" si="97"/>
        <v>1.3040531870000001</v>
      </c>
      <c r="Y199" s="44">
        <f t="shared" si="98"/>
        <v>1.4677413699999999</v>
      </c>
      <c r="Z199" s="44">
        <f t="shared" si="99"/>
        <v>2.6225830368</v>
      </c>
      <c r="AA199" s="44">
        <f t="shared" si="100"/>
        <v>0.19907499849999999</v>
      </c>
      <c r="AB199" s="44">
        <f t="shared" si="101"/>
        <v>0.63102385101000003</v>
      </c>
      <c r="AC199" s="44">
        <f t="shared" si="102"/>
        <v>1.469266057</v>
      </c>
      <c r="AD199" s="44">
        <f t="shared" si="103"/>
        <v>1.3804044719999999</v>
      </c>
      <c r="AF199" s="61" t="str">
        <f t="shared" si="113"/>
        <v>O26</v>
      </c>
      <c r="AG199" s="44">
        <f t="shared" si="114"/>
        <v>0.29189635630136984</v>
      </c>
      <c r="AH199" s="44">
        <f t="shared" si="104"/>
        <v>0.17863742287671233</v>
      </c>
      <c r="AI199" s="44">
        <f t="shared" si="105"/>
        <v>0.20106046164383562</v>
      </c>
      <c r="AJ199" s="44">
        <f t="shared" si="106"/>
        <v>0.35925795024657536</v>
      </c>
      <c r="AK199" s="44">
        <f t="shared" si="107"/>
        <v>3.911100166994106E-2</v>
      </c>
      <c r="AL199" s="44">
        <f t="shared" si="108"/>
        <v>0.1239732516719057</v>
      </c>
      <c r="AM199" s="44">
        <f t="shared" si="109"/>
        <v>0.36548906890547267</v>
      </c>
      <c r="AN199" s="44">
        <f t="shared" si="110"/>
        <v>0.3433841970149254</v>
      </c>
      <c r="AO199" s="44">
        <f t="shared" si="111"/>
        <v>0.24675415340358894</v>
      </c>
    </row>
    <row r="200" spans="1:41" ht="15.6" x14ac:dyDescent="0.25">
      <c r="A200" s="60"/>
      <c r="B200" s="62" t="s">
        <v>200</v>
      </c>
      <c r="C200" s="44">
        <v>2.1632082459999999</v>
      </c>
      <c r="D200" s="44">
        <v>2.7669124599999999</v>
      </c>
      <c r="E200" s="44">
        <v>2.986771107</v>
      </c>
      <c r="F200" s="44">
        <v>2.759248972</v>
      </c>
      <c r="G200" s="44">
        <v>0.1091156304</v>
      </c>
      <c r="H200" s="44">
        <v>0.64481824639999996</v>
      </c>
      <c r="I200" s="44">
        <v>1.78759563</v>
      </c>
      <c r="J200" s="44">
        <v>1.707531095</v>
      </c>
      <c r="K200" s="44">
        <f t="shared" si="96"/>
        <v>2.0826969369054642</v>
      </c>
      <c r="L200" s="58"/>
      <c r="N200">
        <v>1</v>
      </c>
      <c r="O200">
        <v>1</v>
      </c>
      <c r="P200">
        <v>1</v>
      </c>
      <c r="Q200">
        <v>1.02</v>
      </c>
      <c r="R200">
        <v>1</v>
      </c>
      <c r="S200">
        <v>1.05</v>
      </c>
      <c r="T200">
        <v>1</v>
      </c>
      <c r="U200">
        <v>1</v>
      </c>
      <c r="W200" s="44">
        <f t="shared" si="112"/>
        <v>2.1632082459999999</v>
      </c>
      <c r="X200" s="44">
        <f t="shared" si="97"/>
        <v>2.7669124599999999</v>
      </c>
      <c r="Y200" s="44">
        <f t="shared" si="98"/>
        <v>2.986771107</v>
      </c>
      <c r="Z200" s="44">
        <f t="shared" si="99"/>
        <v>2.8144339514399999</v>
      </c>
      <c r="AA200" s="44">
        <f t="shared" si="100"/>
        <v>0.1091156304</v>
      </c>
      <c r="AB200" s="44">
        <f t="shared" si="101"/>
        <v>0.67705915872</v>
      </c>
      <c r="AC200" s="44">
        <f t="shared" si="102"/>
        <v>1.78759563</v>
      </c>
      <c r="AD200" s="44">
        <f t="shared" si="103"/>
        <v>1.707531095</v>
      </c>
      <c r="AF200" s="61" t="str">
        <f t="shared" si="113"/>
        <v>O27</v>
      </c>
      <c r="AG200" s="44">
        <f t="shared" si="114"/>
        <v>0.29632989671232879</v>
      </c>
      <c r="AH200" s="44">
        <f t="shared" si="104"/>
        <v>0.37902910410958901</v>
      </c>
      <c r="AI200" s="44">
        <f t="shared" si="105"/>
        <v>0.40914672698630139</v>
      </c>
      <c r="AJ200" s="44">
        <f t="shared" si="106"/>
        <v>0.38553889745753422</v>
      </c>
      <c r="AK200" s="44">
        <f t="shared" si="107"/>
        <v>2.1437255481335953E-2</v>
      </c>
      <c r="AL200" s="44">
        <f t="shared" si="108"/>
        <v>0.13301751644793713</v>
      </c>
      <c r="AM200" s="44">
        <f t="shared" si="109"/>
        <v>0.44467552985074632</v>
      </c>
      <c r="AN200" s="44">
        <f t="shared" si="110"/>
        <v>0.42475897885572145</v>
      </c>
      <c r="AO200" s="44">
        <f t="shared" si="111"/>
        <v>0.32143488646913732</v>
      </c>
    </row>
    <row r="201" spans="1:41" ht="15.6" x14ac:dyDescent="0.25">
      <c r="A201" s="57"/>
      <c r="B201" s="62" t="s">
        <v>201</v>
      </c>
      <c r="C201" s="44">
        <v>0.57243555779999999</v>
      </c>
      <c r="D201" s="44">
        <v>0.56466829780000005</v>
      </c>
      <c r="E201" s="44">
        <v>0.18838548660000001</v>
      </c>
      <c r="F201" s="44">
        <v>1.024266481</v>
      </c>
      <c r="G201" s="44">
        <v>0.39661064740000002</v>
      </c>
      <c r="H201" s="44">
        <v>0.44814789300000002</v>
      </c>
      <c r="I201" s="44">
        <v>0.77892190220000002</v>
      </c>
      <c r="J201" s="44">
        <v>0.84751635790000002</v>
      </c>
      <c r="K201" s="44">
        <f t="shared" si="96"/>
        <v>0.63626369663341809</v>
      </c>
      <c r="L201" s="44"/>
      <c r="N201">
        <v>1</v>
      </c>
      <c r="O201">
        <v>1</v>
      </c>
      <c r="P201">
        <v>1</v>
      </c>
      <c r="Q201">
        <v>1.02</v>
      </c>
      <c r="R201">
        <v>1</v>
      </c>
      <c r="S201">
        <v>1.05</v>
      </c>
      <c r="T201">
        <v>1</v>
      </c>
      <c r="U201">
        <v>1</v>
      </c>
      <c r="W201" s="44">
        <f t="shared" si="112"/>
        <v>0.57243555779999999</v>
      </c>
      <c r="X201" s="44">
        <f t="shared" si="97"/>
        <v>0.56466829780000005</v>
      </c>
      <c r="Y201" s="44">
        <f t="shared" si="98"/>
        <v>0.18838548660000001</v>
      </c>
      <c r="Z201" s="44">
        <f t="shared" si="99"/>
        <v>1.04475181062</v>
      </c>
      <c r="AA201" s="44">
        <f t="shared" si="100"/>
        <v>0.39661064740000002</v>
      </c>
      <c r="AB201" s="44">
        <f t="shared" si="101"/>
        <v>0.47055528765000004</v>
      </c>
      <c r="AC201" s="44">
        <f t="shared" si="102"/>
        <v>0.77892190220000002</v>
      </c>
      <c r="AD201" s="44">
        <f t="shared" si="103"/>
        <v>0.84751635790000002</v>
      </c>
      <c r="AF201" s="61" t="str">
        <f t="shared" si="113"/>
        <v>O28</v>
      </c>
      <c r="AG201" s="44">
        <f t="shared" si="114"/>
        <v>7.8415829835616443E-2</v>
      </c>
      <c r="AH201" s="44">
        <f t="shared" si="104"/>
        <v>7.735182161643836E-2</v>
      </c>
      <c r="AI201" s="44">
        <f t="shared" si="105"/>
        <v>2.5806231041095893E-2</v>
      </c>
      <c r="AJ201" s="44">
        <f t="shared" si="106"/>
        <v>0.14311668638630137</v>
      </c>
      <c r="AK201" s="44">
        <f t="shared" si="107"/>
        <v>7.7919577092337919E-2</v>
      </c>
      <c r="AL201" s="44">
        <f t="shared" si="108"/>
        <v>9.2447011326129674E-2</v>
      </c>
      <c r="AM201" s="44">
        <f t="shared" si="109"/>
        <v>0.19376166721393037</v>
      </c>
      <c r="AN201" s="44">
        <f t="shared" si="110"/>
        <v>0.21082496465174133</v>
      </c>
      <c r="AO201" s="44">
        <f t="shared" si="111"/>
        <v>0.10734039616867086</v>
      </c>
    </row>
    <row r="202" spans="1:41" ht="15.6" x14ac:dyDescent="0.25">
      <c r="A202" s="60"/>
      <c r="B202" s="62" t="s">
        <v>202</v>
      </c>
      <c r="C202" s="44">
        <v>0.6623723507</v>
      </c>
      <c r="D202" s="44">
        <v>0.62415897850000002</v>
      </c>
      <c r="E202" s="44">
        <v>0.35948184129999999</v>
      </c>
      <c r="F202" s="44">
        <v>1.4801678659999999</v>
      </c>
      <c r="G202" s="44">
        <v>0.57458388810000005</v>
      </c>
      <c r="H202" s="44">
        <v>0.45466390249999999</v>
      </c>
      <c r="I202" s="44">
        <v>1.8726645710000001</v>
      </c>
      <c r="J202" s="44">
        <v>1.7853348259999999</v>
      </c>
      <c r="K202" s="44">
        <f t="shared" si="96"/>
        <v>0.99176871656709031</v>
      </c>
      <c r="L202" s="58"/>
      <c r="N202">
        <v>1</v>
      </c>
      <c r="O202">
        <v>1</v>
      </c>
      <c r="P202">
        <v>1</v>
      </c>
      <c r="Q202">
        <v>1.02</v>
      </c>
      <c r="R202">
        <v>1</v>
      </c>
      <c r="S202">
        <v>1.05</v>
      </c>
      <c r="T202">
        <v>1</v>
      </c>
      <c r="U202">
        <v>1</v>
      </c>
      <c r="W202" s="44">
        <f t="shared" si="112"/>
        <v>0.6623723507</v>
      </c>
      <c r="X202" s="44">
        <f t="shared" si="97"/>
        <v>0.62415897850000002</v>
      </c>
      <c r="Y202" s="44">
        <f t="shared" si="98"/>
        <v>0.35948184129999999</v>
      </c>
      <c r="Z202" s="44">
        <f t="shared" si="99"/>
        <v>1.50977122332</v>
      </c>
      <c r="AA202" s="44">
        <f t="shared" si="100"/>
        <v>0.57458388810000005</v>
      </c>
      <c r="AB202" s="44">
        <f t="shared" si="101"/>
        <v>0.47739709762499999</v>
      </c>
      <c r="AC202" s="44">
        <f t="shared" si="102"/>
        <v>1.8726645710000001</v>
      </c>
      <c r="AD202" s="44">
        <f t="shared" si="103"/>
        <v>1.7853348259999999</v>
      </c>
      <c r="AF202" s="61" t="str">
        <f t="shared" si="113"/>
        <v>O29</v>
      </c>
      <c r="AG202" s="44">
        <f t="shared" si="114"/>
        <v>9.0735938452054798E-2</v>
      </c>
      <c r="AH202" s="44">
        <f t="shared" si="104"/>
        <v>8.5501229931506856E-2</v>
      </c>
      <c r="AI202" s="44">
        <f t="shared" si="105"/>
        <v>4.9244087849315069E-2</v>
      </c>
      <c r="AJ202" s="44">
        <f t="shared" si="106"/>
        <v>0.20681797579726027</v>
      </c>
      <c r="AK202" s="44">
        <f t="shared" si="107"/>
        <v>0.11288485031434185</v>
      </c>
      <c r="AL202" s="44">
        <f t="shared" si="108"/>
        <v>9.3791178315324158E-2</v>
      </c>
      <c r="AM202" s="44">
        <f t="shared" si="109"/>
        <v>0.46583695796019908</v>
      </c>
      <c r="AN202" s="44">
        <f t="shared" si="110"/>
        <v>0.44411314079601993</v>
      </c>
      <c r="AO202" s="44">
        <f t="shared" si="111"/>
        <v>0.17540904715344244</v>
      </c>
    </row>
    <row r="203" spans="1:41" ht="15.6" x14ac:dyDescent="0.25">
      <c r="A203" s="57"/>
      <c r="B203" s="62" t="s">
        <v>203</v>
      </c>
      <c r="C203" s="44">
        <v>1.194015622</v>
      </c>
      <c r="D203" s="44">
        <v>1.091984034</v>
      </c>
      <c r="E203" s="44">
        <v>0.51243132349999998</v>
      </c>
      <c r="F203" s="44">
        <v>1.299184084</v>
      </c>
      <c r="G203" s="44">
        <v>0.72564071419999998</v>
      </c>
      <c r="H203" s="44">
        <v>0.72764843700000004</v>
      </c>
      <c r="I203" s="44">
        <v>0.82608538870000003</v>
      </c>
      <c r="J203" s="44">
        <v>0.43613606690000001</v>
      </c>
      <c r="K203" s="44">
        <f t="shared" ref="K203:K238" si="115">SUMPRODUCT(C203:J203,$C$7:$J$7)/$K$7</f>
        <v>0.90971201041893279</v>
      </c>
      <c r="L203" s="44"/>
      <c r="N203">
        <v>1</v>
      </c>
      <c r="O203">
        <v>1</v>
      </c>
      <c r="P203">
        <v>1</v>
      </c>
      <c r="Q203">
        <v>1.02</v>
      </c>
      <c r="R203">
        <v>1</v>
      </c>
      <c r="S203">
        <v>1.05</v>
      </c>
      <c r="T203">
        <v>1</v>
      </c>
      <c r="U203">
        <v>1</v>
      </c>
      <c r="W203" s="44">
        <f t="shared" si="112"/>
        <v>1.194015622</v>
      </c>
      <c r="X203" s="44">
        <f t="shared" ref="X203:X237" si="116">D203*O203</f>
        <v>1.091984034</v>
      </c>
      <c r="Y203" s="44">
        <f t="shared" ref="Y203:Y237" si="117">E203*P203</f>
        <v>0.51243132349999998</v>
      </c>
      <c r="Z203" s="44">
        <f t="shared" ref="Z203:Z237" si="118">F203*Q203</f>
        <v>1.3251677656800001</v>
      </c>
      <c r="AA203" s="44">
        <f t="shared" ref="AA203:AA237" si="119">G203*R203</f>
        <v>0.72564071419999998</v>
      </c>
      <c r="AB203" s="44">
        <f t="shared" ref="AB203:AB237" si="120">H203*S203</f>
        <v>0.76403085885000011</v>
      </c>
      <c r="AC203" s="44">
        <f t="shared" ref="AC203:AC237" si="121">I203*T203</f>
        <v>0.82608538870000003</v>
      </c>
      <c r="AD203" s="44">
        <f t="shared" ref="AD203:AD237" si="122">J203*U203</f>
        <v>0.43613606690000001</v>
      </c>
      <c r="AF203" s="61" t="str">
        <f t="shared" si="113"/>
        <v>O30</v>
      </c>
      <c r="AG203" s="44">
        <f t="shared" si="114"/>
        <v>0.16356378383561646</v>
      </c>
      <c r="AH203" s="44">
        <f t="shared" ref="AH203:AH237" si="123">X203/X$8</f>
        <v>0.14958685397260274</v>
      </c>
      <c r="AI203" s="44">
        <f t="shared" ref="AI203:AI237" si="124">Y203/Y$8</f>
        <v>7.0196071712328764E-2</v>
      </c>
      <c r="AJ203" s="44">
        <f t="shared" ref="AJ203:AJ237" si="125">Z203/Z$8</f>
        <v>0.1815298309150685</v>
      </c>
      <c r="AK203" s="44">
        <f t="shared" ref="AK203:AK237" si="126">AA203/AA$8</f>
        <v>0.1425620263654224</v>
      </c>
      <c r="AL203" s="44">
        <f t="shared" ref="AL203:AL237" si="127">AB203/AB$8</f>
        <v>0.15010429446954815</v>
      </c>
      <c r="AM203" s="44">
        <f t="shared" ref="AM203:AM237" si="128">AC203/AC$8</f>
        <v>0.20549387778606967</v>
      </c>
      <c r="AN203" s="44">
        <f t="shared" ref="AN203:AN237" si="129">AD203/AD$8</f>
        <v>0.10849155893034827</v>
      </c>
      <c r="AO203" s="44">
        <f t="shared" ref="AO203:AO237" si="130">SUMPRODUCT(AG203:AN203,$C$7:$J$7)/$K$7</f>
        <v>0.14604725367799451</v>
      </c>
    </row>
    <row r="204" spans="1:41" ht="15.6" x14ac:dyDescent="0.25">
      <c r="A204" s="60"/>
      <c r="B204" s="62" t="s">
        <v>204</v>
      </c>
      <c r="C204" s="44">
        <v>1.0140892269999999</v>
      </c>
      <c r="D204" s="44">
        <v>1.1532816889999999</v>
      </c>
      <c r="E204" s="44">
        <v>0.59207773210000003</v>
      </c>
      <c r="F204" s="44">
        <v>0.27987265589999999</v>
      </c>
      <c r="G204" s="44">
        <v>0.63687741760000005</v>
      </c>
      <c r="H204" s="44">
        <v>0.16777044529999999</v>
      </c>
      <c r="I204" s="44">
        <v>1.517938137</v>
      </c>
      <c r="J204" s="44">
        <v>1.497033477</v>
      </c>
      <c r="K204" s="44">
        <f t="shared" si="115"/>
        <v>0.7082508867522237</v>
      </c>
      <c r="L204" s="58"/>
      <c r="N204">
        <v>1</v>
      </c>
      <c r="O204">
        <v>1</v>
      </c>
      <c r="P204">
        <v>1</v>
      </c>
      <c r="Q204">
        <v>1.02</v>
      </c>
      <c r="R204">
        <v>1</v>
      </c>
      <c r="S204">
        <v>1.05</v>
      </c>
      <c r="T204">
        <v>1</v>
      </c>
      <c r="U204">
        <v>1</v>
      </c>
      <c r="W204" s="44">
        <f t="shared" ref="W204:W237" si="131">C204*N204</f>
        <v>1.0140892269999999</v>
      </c>
      <c r="X204" s="44">
        <f t="shared" si="116"/>
        <v>1.1532816889999999</v>
      </c>
      <c r="Y204" s="44">
        <f t="shared" si="117"/>
        <v>0.59207773210000003</v>
      </c>
      <c r="Z204" s="44">
        <f t="shared" si="118"/>
        <v>0.28547010901800002</v>
      </c>
      <c r="AA204" s="44">
        <f t="shared" si="119"/>
        <v>0.63687741760000005</v>
      </c>
      <c r="AB204" s="44">
        <f t="shared" si="120"/>
        <v>0.17615896756499999</v>
      </c>
      <c r="AC204" s="44">
        <f t="shared" si="121"/>
        <v>1.517938137</v>
      </c>
      <c r="AD204" s="44">
        <f t="shared" si="122"/>
        <v>1.497033477</v>
      </c>
      <c r="AF204" s="61" t="str">
        <f t="shared" ref="AF204:AF237" si="132">B204</f>
        <v>O31</v>
      </c>
      <c r="AG204" s="44">
        <f t="shared" ref="AG204:AG237" si="133">W204/W$8</f>
        <v>0.13891633246575341</v>
      </c>
      <c r="AH204" s="44">
        <f t="shared" si="123"/>
        <v>0.15798379301369864</v>
      </c>
      <c r="AI204" s="44">
        <f t="shared" si="124"/>
        <v>8.1106538643835629E-2</v>
      </c>
      <c r="AJ204" s="44">
        <f t="shared" si="125"/>
        <v>3.9105494386027402E-2</v>
      </c>
      <c r="AK204" s="44">
        <f t="shared" si="126"/>
        <v>0.12512326475442045</v>
      </c>
      <c r="AL204" s="44">
        <f t="shared" si="127"/>
        <v>3.4608834492141451E-2</v>
      </c>
      <c r="AM204" s="44">
        <f t="shared" si="128"/>
        <v>0.37759655149253735</v>
      </c>
      <c r="AN204" s="44">
        <f t="shared" si="129"/>
        <v>0.37239638731343289</v>
      </c>
      <c r="AO204" s="44">
        <f t="shared" si="130"/>
        <v>0.12927527300673347</v>
      </c>
    </row>
    <row r="205" spans="1:41" ht="15.6" x14ac:dyDescent="0.25">
      <c r="A205" s="57"/>
      <c r="B205" s="62" t="s">
        <v>205</v>
      </c>
      <c r="C205" s="44">
        <v>2.326782465</v>
      </c>
      <c r="D205" s="44">
        <v>2.190527678</v>
      </c>
      <c r="E205" s="44">
        <v>2.1130633350000001</v>
      </c>
      <c r="F205" s="44">
        <v>2.2359676359999998</v>
      </c>
      <c r="G205" s="44">
        <v>0.61800694469999995</v>
      </c>
      <c r="H205" s="44">
        <v>0.48949632050000003</v>
      </c>
      <c r="I205" s="44">
        <v>1.676706553</v>
      </c>
      <c r="J205" s="44">
        <v>1.388499618</v>
      </c>
      <c r="K205" s="44">
        <f t="shared" si="115"/>
        <v>1.7633478760980943</v>
      </c>
      <c r="L205" s="44"/>
      <c r="N205">
        <v>1</v>
      </c>
      <c r="O205">
        <v>1</v>
      </c>
      <c r="P205">
        <v>1</v>
      </c>
      <c r="Q205">
        <v>1.02</v>
      </c>
      <c r="R205">
        <v>1</v>
      </c>
      <c r="S205">
        <v>1.05</v>
      </c>
      <c r="T205">
        <v>1</v>
      </c>
      <c r="U205">
        <v>1</v>
      </c>
      <c r="W205" s="44">
        <f t="shared" si="131"/>
        <v>2.326782465</v>
      </c>
      <c r="X205" s="44">
        <f t="shared" si="116"/>
        <v>2.190527678</v>
      </c>
      <c r="Y205" s="44">
        <f t="shared" si="117"/>
        <v>2.1130633350000001</v>
      </c>
      <c r="Z205" s="44">
        <f t="shared" si="118"/>
        <v>2.2806869887199999</v>
      </c>
      <c r="AA205" s="44">
        <f t="shared" si="119"/>
        <v>0.61800694469999995</v>
      </c>
      <c r="AB205" s="44">
        <f t="shared" si="120"/>
        <v>0.51397113652500004</v>
      </c>
      <c r="AC205" s="44">
        <f t="shared" si="121"/>
        <v>1.676706553</v>
      </c>
      <c r="AD205" s="44">
        <f t="shared" si="122"/>
        <v>1.388499618</v>
      </c>
      <c r="AF205" s="61" t="str">
        <f t="shared" si="132"/>
        <v>O32</v>
      </c>
      <c r="AG205" s="44">
        <f t="shared" si="133"/>
        <v>0.31873732397260274</v>
      </c>
      <c r="AH205" s="44">
        <f t="shared" si="123"/>
        <v>0.30007228465753427</v>
      </c>
      <c r="AI205" s="44">
        <f t="shared" si="124"/>
        <v>0.28946073082191781</v>
      </c>
      <c r="AJ205" s="44">
        <f t="shared" si="125"/>
        <v>0.3124228751671233</v>
      </c>
      <c r="AK205" s="44">
        <f t="shared" si="126"/>
        <v>0.12141590269155206</v>
      </c>
      <c r="AL205" s="44">
        <f t="shared" si="127"/>
        <v>0.10097664764734775</v>
      </c>
      <c r="AM205" s="44">
        <f t="shared" si="128"/>
        <v>0.4170911823383085</v>
      </c>
      <c r="AN205" s="44">
        <f t="shared" si="129"/>
        <v>0.3453979149253732</v>
      </c>
      <c r="AO205" s="44">
        <f t="shared" si="130"/>
        <v>0.27717303358782275</v>
      </c>
    </row>
    <row r="206" spans="1:41" ht="15.6" x14ac:dyDescent="0.25">
      <c r="A206" s="60"/>
      <c r="B206" s="62" t="s">
        <v>206</v>
      </c>
      <c r="C206" s="44">
        <v>2.2256488800000001</v>
      </c>
      <c r="D206" s="44">
        <v>2.221936226</v>
      </c>
      <c r="E206" s="44">
        <v>2.5065953730000001</v>
      </c>
      <c r="F206" s="44">
        <v>2.4534678460000001</v>
      </c>
      <c r="G206" s="44">
        <v>0.14018772539999999</v>
      </c>
      <c r="H206" s="44">
        <v>8.4146976469999996E-2</v>
      </c>
      <c r="I206" s="44">
        <v>1.6817348000000001</v>
      </c>
      <c r="J206" s="44">
        <v>1.5367795230000001</v>
      </c>
      <c r="K206" s="44">
        <f t="shared" si="115"/>
        <v>1.8075521336153879</v>
      </c>
      <c r="L206" s="58"/>
      <c r="N206">
        <v>1</v>
      </c>
      <c r="O206">
        <v>1</v>
      </c>
      <c r="P206">
        <v>1</v>
      </c>
      <c r="Q206">
        <v>1.02</v>
      </c>
      <c r="R206">
        <v>1</v>
      </c>
      <c r="S206">
        <v>1.05</v>
      </c>
      <c r="T206">
        <v>1</v>
      </c>
      <c r="U206">
        <v>1</v>
      </c>
      <c r="W206" s="44">
        <f t="shared" si="131"/>
        <v>2.2256488800000001</v>
      </c>
      <c r="X206" s="44">
        <f t="shared" si="116"/>
        <v>2.221936226</v>
      </c>
      <c r="Y206" s="44">
        <f t="shared" si="117"/>
        <v>2.5065953730000001</v>
      </c>
      <c r="Z206" s="44">
        <f t="shared" si="118"/>
        <v>2.5025372029200001</v>
      </c>
      <c r="AA206" s="44">
        <f t="shared" si="119"/>
        <v>0.14018772539999999</v>
      </c>
      <c r="AB206" s="44">
        <f t="shared" si="120"/>
        <v>8.83543252935E-2</v>
      </c>
      <c r="AC206" s="44">
        <f t="shared" si="121"/>
        <v>1.6817348000000001</v>
      </c>
      <c r="AD206" s="44">
        <f t="shared" si="122"/>
        <v>1.5367795230000001</v>
      </c>
      <c r="AF206" s="61" t="str">
        <f t="shared" si="132"/>
        <v>O33</v>
      </c>
      <c r="AG206" s="44">
        <f t="shared" si="133"/>
        <v>0.30488340821917809</v>
      </c>
      <c r="AH206" s="44">
        <f t="shared" si="123"/>
        <v>0.30437482547945205</v>
      </c>
      <c r="AI206" s="44">
        <f t="shared" si="124"/>
        <v>0.34336922917808221</v>
      </c>
      <c r="AJ206" s="44">
        <f t="shared" si="125"/>
        <v>0.3428133154684932</v>
      </c>
      <c r="AK206" s="44">
        <f t="shared" si="126"/>
        <v>2.7541792809430254E-2</v>
      </c>
      <c r="AL206" s="44">
        <f t="shared" si="127"/>
        <v>1.7358413613654224E-2</v>
      </c>
      <c r="AM206" s="44">
        <f t="shared" si="128"/>
        <v>0.41834199004975131</v>
      </c>
      <c r="AN206" s="44">
        <f t="shared" si="129"/>
        <v>0.38228346343283587</v>
      </c>
      <c r="AO206" s="44">
        <f t="shared" si="130"/>
        <v>0.27878541976129995</v>
      </c>
    </row>
    <row r="207" spans="1:41" ht="15.6" x14ac:dyDescent="0.25">
      <c r="A207" s="57"/>
      <c r="B207" s="62" t="s">
        <v>207</v>
      </c>
      <c r="C207" s="44">
        <v>1.1398991350000001</v>
      </c>
      <c r="D207" s="44">
        <v>1.860950828</v>
      </c>
      <c r="E207" s="44">
        <v>1.4320565460000001</v>
      </c>
      <c r="F207" s="44">
        <v>2.167209148</v>
      </c>
      <c r="G207" s="44">
        <v>6.3920035959999996E-2</v>
      </c>
      <c r="H207" s="44">
        <v>0.57387858629999999</v>
      </c>
      <c r="I207" s="44">
        <v>0.1977732629</v>
      </c>
      <c r="J207" s="44">
        <v>0.11477242410000001</v>
      </c>
      <c r="K207" s="44">
        <f t="shared" si="115"/>
        <v>1.2142570384881322</v>
      </c>
      <c r="L207" s="44"/>
      <c r="N207">
        <v>1</v>
      </c>
      <c r="O207">
        <v>1</v>
      </c>
      <c r="P207">
        <v>1</v>
      </c>
      <c r="Q207">
        <v>1.02</v>
      </c>
      <c r="R207">
        <v>1</v>
      </c>
      <c r="S207">
        <v>1.05</v>
      </c>
      <c r="T207">
        <v>1</v>
      </c>
      <c r="U207">
        <v>1</v>
      </c>
      <c r="W207" s="44">
        <f t="shared" si="131"/>
        <v>1.1398991350000001</v>
      </c>
      <c r="X207" s="44">
        <f t="shared" si="116"/>
        <v>1.860950828</v>
      </c>
      <c r="Y207" s="44">
        <f t="shared" si="117"/>
        <v>1.4320565460000001</v>
      </c>
      <c r="Z207" s="44">
        <f t="shared" si="118"/>
        <v>2.2105533309599998</v>
      </c>
      <c r="AA207" s="44">
        <f t="shared" si="119"/>
        <v>6.3920035959999996E-2</v>
      </c>
      <c r="AB207" s="44">
        <f t="shared" si="120"/>
        <v>0.60257251561500003</v>
      </c>
      <c r="AC207" s="44">
        <f t="shared" si="121"/>
        <v>0.1977732629</v>
      </c>
      <c r="AD207" s="44">
        <f t="shared" si="122"/>
        <v>0.11477242410000001</v>
      </c>
      <c r="AF207" s="61" t="str">
        <f t="shared" si="132"/>
        <v>O34</v>
      </c>
      <c r="AG207" s="44">
        <f t="shared" si="133"/>
        <v>0.15615056643835618</v>
      </c>
      <c r="AH207" s="44">
        <f t="shared" si="123"/>
        <v>0.25492477095890409</v>
      </c>
      <c r="AI207" s="44">
        <f t="shared" si="124"/>
        <v>0.19617212958904112</v>
      </c>
      <c r="AJ207" s="44">
        <f t="shared" si="125"/>
        <v>0.30281552478904106</v>
      </c>
      <c r="AK207" s="44">
        <f t="shared" si="126"/>
        <v>1.2557963842829076E-2</v>
      </c>
      <c r="AL207" s="44">
        <f t="shared" si="127"/>
        <v>0.11838359835265226</v>
      </c>
      <c r="AM207" s="44">
        <f t="shared" si="128"/>
        <v>4.9197329079601997E-2</v>
      </c>
      <c r="AN207" s="44">
        <f t="shared" si="129"/>
        <v>2.8550354253731348E-2</v>
      </c>
      <c r="AO207" s="44">
        <f t="shared" si="130"/>
        <v>0.1739517514215585</v>
      </c>
    </row>
    <row r="208" spans="1:41" ht="15.6" x14ac:dyDescent="0.25">
      <c r="A208" s="60"/>
      <c r="B208" s="62" t="s">
        <v>208</v>
      </c>
      <c r="C208" s="44">
        <v>2.951190472</v>
      </c>
      <c r="D208" s="44">
        <v>3.677227974</v>
      </c>
      <c r="E208" s="44">
        <v>3.754703283</v>
      </c>
      <c r="F208" s="44">
        <v>3.4209485050000001</v>
      </c>
      <c r="G208" s="44">
        <v>0.46638423200000001</v>
      </c>
      <c r="H208" s="44">
        <v>0.64341396090000003</v>
      </c>
      <c r="I208" s="44">
        <v>1.847839475</v>
      </c>
      <c r="J208" s="44">
        <v>1.6152036190000001</v>
      </c>
      <c r="K208" s="44">
        <f t="shared" si="115"/>
        <v>2.6055863643096573</v>
      </c>
      <c r="L208" s="58"/>
      <c r="N208">
        <v>1</v>
      </c>
      <c r="O208">
        <v>1</v>
      </c>
      <c r="P208">
        <v>1</v>
      </c>
      <c r="Q208">
        <v>1.02</v>
      </c>
      <c r="R208">
        <v>1</v>
      </c>
      <c r="S208">
        <v>1.05</v>
      </c>
      <c r="T208">
        <v>1</v>
      </c>
      <c r="U208">
        <v>1</v>
      </c>
      <c r="W208" s="44">
        <f t="shared" si="131"/>
        <v>2.951190472</v>
      </c>
      <c r="X208" s="44">
        <f t="shared" si="116"/>
        <v>3.677227974</v>
      </c>
      <c r="Y208" s="44">
        <f t="shared" si="117"/>
        <v>3.754703283</v>
      </c>
      <c r="Z208" s="44">
        <f t="shared" si="118"/>
        <v>3.4893674751000003</v>
      </c>
      <c r="AA208" s="44">
        <f t="shared" si="119"/>
        <v>0.46638423200000001</v>
      </c>
      <c r="AB208" s="44">
        <f t="shared" si="120"/>
        <v>0.67558465894500008</v>
      </c>
      <c r="AC208" s="44">
        <f t="shared" si="121"/>
        <v>1.847839475</v>
      </c>
      <c r="AD208" s="44">
        <f t="shared" si="122"/>
        <v>1.6152036190000001</v>
      </c>
      <c r="AF208" s="61" t="str">
        <f t="shared" si="132"/>
        <v>O35</v>
      </c>
      <c r="AG208" s="44">
        <f t="shared" si="133"/>
        <v>0.40427266739726025</v>
      </c>
      <c r="AH208" s="44">
        <f t="shared" si="123"/>
        <v>0.50372985945205484</v>
      </c>
      <c r="AI208" s="44">
        <f t="shared" si="124"/>
        <v>0.5143429154794521</v>
      </c>
      <c r="AJ208" s="44">
        <f t="shared" si="125"/>
        <v>0.47799554453424664</v>
      </c>
      <c r="AK208" s="44">
        <f t="shared" si="126"/>
        <v>9.1627550491159143E-2</v>
      </c>
      <c r="AL208" s="44">
        <f t="shared" si="127"/>
        <v>0.13272783083398823</v>
      </c>
      <c r="AM208" s="44">
        <f t="shared" si="128"/>
        <v>0.45966156094527366</v>
      </c>
      <c r="AN208" s="44">
        <f t="shared" si="129"/>
        <v>0.4017919450248757</v>
      </c>
      <c r="AO208" s="44">
        <f t="shared" si="130"/>
        <v>0.39632920252949483</v>
      </c>
    </row>
    <row r="209" spans="1:41" ht="15.6" x14ac:dyDescent="0.25">
      <c r="A209" s="57"/>
      <c r="B209" s="62" t="s">
        <v>209</v>
      </c>
      <c r="C209" s="44">
        <v>1.4448022840000001</v>
      </c>
      <c r="D209" s="44">
        <v>0.14893706139999999</v>
      </c>
      <c r="E209" s="44">
        <v>0.4798919559</v>
      </c>
      <c r="F209" s="44">
        <v>0.21658565099999999</v>
      </c>
      <c r="G209" s="44">
        <v>0.52372509239999998</v>
      </c>
      <c r="H209" s="44">
        <v>0.11499547960000001</v>
      </c>
      <c r="I209" s="44">
        <v>1.4513190979999999</v>
      </c>
      <c r="J209" s="44">
        <v>1.395015836</v>
      </c>
      <c r="K209" s="44">
        <f t="shared" si="115"/>
        <v>0.57418648712401521</v>
      </c>
      <c r="L209" s="44"/>
      <c r="N209">
        <v>1</v>
      </c>
      <c r="O209">
        <v>1</v>
      </c>
      <c r="P209">
        <v>1</v>
      </c>
      <c r="Q209">
        <v>1.02</v>
      </c>
      <c r="R209">
        <v>1</v>
      </c>
      <c r="S209">
        <v>1.05</v>
      </c>
      <c r="T209">
        <v>1</v>
      </c>
      <c r="U209">
        <v>1</v>
      </c>
      <c r="W209" s="44">
        <f t="shared" si="131"/>
        <v>1.4448022840000001</v>
      </c>
      <c r="X209" s="44">
        <f t="shared" si="116"/>
        <v>0.14893706139999999</v>
      </c>
      <c r="Y209" s="44">
        <f t="shared" si="117"/>
        <v>0.4798919559</v>
      </c>
      <c r="Z209" s="44">
        <f t="shared" si="118"/>
        <v>0.22091736402000001</v>
      </c>
      <c r="AA209" s="44">
        <f t="shared" si="119"/>
        <v>0.52372509239999998</v>
      </c>
      <c r="AB209" s="44">
        <f t="shared" si="120"/>
        <v>0.12074525358000002</v>
      </c>
      <c r="AC209" s="44">
        <f t="shared" si="121"/>
        <v>1.4513190979999999</v>
      </c>
      <c r="AD209" s="44">
        <f t="shared" si="122"/>
        <v>1.395015836</v>
      </c>
      <c r="AF209" s="61" t="str">
        <f t="shared" si="132"/>
        <v>O36</v>
      </c>
      <c r="AG209" s="44">
        <f t="shared" si="133"/>
        <v>0.19791812109589044</v>
      </c>
      <c r="AH209" s="44">
        <f t="shared" si="123"/>
        <v>2.0402337178082191E-2</v>
      </c>
      <c r="AI209" s="44">
        <f t="shared" si="124"/>
        <v>6.5738624095890416E-2</v>
      </c>
      <c r="AJ209" s="44">
        <f t="shared" si="125"/>
        <v>3.0262652605479452E-2</v>
      </c>
      <c r="AK209" s="44">
        <f t="shared" si="126"/>
        <v>0.10289294546168959</v>
      </c>
      <c r="AL209" s="44">
        <f t="shared" si="127"/>
        <v>2.3722053748526525E-2</v>
      </c>
      <c r="AM209" s="44">
        <f t="shared" si="128"/>
        <v>0.36102465124378114</v>
      </c>
      <c r="AN209" s="44">
        <f t="shared" si="129"/>
        <v>0.34701886467661697</v>
      </c>
      <c r="AO209" s="44">
        <f t="shared" si="130"/>
        <v>0.10822377942820251</v>
      </c>
    </row>
    <row r="210" spans="1:41" ht="15.6" x14ac:dyDescent="0.25">
      <c r="A210" s="60"/>
      <c r="B210" s="62" t="s">
        <v>210</v>
      </c>
      <c r="C210" s="44">
        <v>2.7534363270000002</v>
      </c>
      <c r="D210" s="44">
        <v>3.4307634829999998</v>
      </c>
      <c r="E210" s="44">
        <v>3.1972267630000002</v>
      </c>
      <c r="F210" s="44">
        <v>2.6885561939999998</v>
      </c>
      <c r="G210" s="44">
        <v>0.7613303065</v>
      </c>
      <c r="H210" s="44">
        <v>0.55911993979999997</v>
      </c>
      <c r="I210" s="44">
        <v>1.406320453</v>
      </c>
      <c r="J210" s="44">
        <v>1.2308368679999999</v>
      </c>
      <c r="K210" s="44">
        <f t="shared" si="115"/>
        <v>2.2302246445411691</v>
      </c>
      <c r="L210" s="58"/>
      <c r="N210">
        <v>1</v>
      </c>
      <c r="O210">
        <v>1</v>
      </c>
      <c r="P210">
        <v>1</v>
      </c>
      <c r="Q210">
        <v>1.02</v>
      </c>
      <c r="R210">
        <v>1</v>
      </c>
      <c r="S210">
        <v>1.05</v>
      </c>
      <c r="T210">
        <v>1</v>
      </c>
      <c r="U210">
        <v>1</v>
      </c>
      <c r="W210" s="44">
        <f t="shared" si="131"/>
        <v>2.7534363270000002</v>
      </c>
      <c r="X210" s="44">
        <f t="shared" si="116"/>
        <v>3.4307634829999998</v>
      </c>
      <c r="Y210" s="44">
        <f t="shared" si="117"/>
        <v>3.1972267630000002</v>
      </c>
      <c r="Z210" s="44">
        <f t="shared" si="118"/>
        <v>2.7423273178799996</v>
      </c>
      <c r="AA210" s="44">
        <f t="shared" si="119"/>
        <v>0.7613303065</v>
      </c>
      <c r="AB210" s="44">
        <f t="shared" si="120"/>
        <v>0.58707593679000003</v>
      </c>
      <c r="AC210" s="44">
        <f t="shared" si="121"/>
        <v>1.406320453</v>
      </c>
      <c r="AD210" s="44">
        <f t="shared" si="122"/>
        <v>1.2308368679999999</v>
      </c>
      <c r="AF210" s="61" t="str">
        <f t="shared" si="132"/>
        <v>O37</v>
      </c>
      <c r="AG210" s="44">
        <f t="shared" si="133"/>
        <v>0.3771830584931507</v>
      </c>
      <c r="AH210" s="44">
        <f t="shared" si="123"/>
        <v>0.46996760041095886</v>
      </c>
      <c r="AI210" s="44">
        <f t="shared" si="124"/>
        <v>0.43797626890410962</v>
      </c>
      <c r="AJ210" s="44">
        <f t="shared" si="125"/>
        <v>0.37566127642191777</v>
      </c>
      <c r="AK210" s="44">
        <f t="shared" si="126"/>
        <v>0.149573734086444</v>
      </c>
      <c r="AL210" s="44">
        <f t="shared" si="127"/>
        <v>0.11533908384872299</v>
      </c>
      <c r="AM210" s="44">
        <f t="shared" si="128"/>
        <v>0.34983095845771145</v>
      </c>
      <c r="AN210" s="44">
        <f t="shared" si="129"/>
        <v>0.30617832537313433</v>
      </c>
      <c r="AO210" s="44">
        <f t="shared" si="130"/>
        <v>0.33930859668334507</v>
      </c>
    </row>
    <row r="211" spans="1:41" ht="15.6" x14ac:dyDescent="0.25">
      <c r="A211" s="57"/>
      <c r="B211" s="62" t="s">
        <v>211</v>
      </c>
      <c r="C211" s="44">
        <v>0.79759055379999999</v>
      </c>
      <c r="D211" s="44">
        <v>0.72273373600000002</v>
      </c>
      <c r="E211" s="44">
        <v>6.5164074299999999E-2</v>
      </c>
      <c r="F211" s="44">
        <v>1.089547992</v>
      </c>
      <c r="G211" s="44">
        <v>0.13775298</v>
      </c>
      <c r="H211" s="44">
        <v>0.1818916649</v>
      </c>
      <c r="I211" s="44">
        <v>1.367943168</v>
      </c>
      <c r="J211" s="44">
        <v>1.091461062</v>
      </c>
      <c r="K211" s="44">
        <f t="shared" si="115"/>
        <v>0.67597404626874213</v>
      </c>
      <c r="L211" s="44"/>
      <c r="N211">
        <v>1</v>
      </c>
      <c r="O211">
        <v>1</v>
      </c>
      <c r="P211">
        <v>1</v>
      </c>
      <c r="Q211">
        <v>1.02</v>
      </c>
      <c r="R211">
        <v>1</v>
      </c>
      <c r="S211">
        <v>1.05</v>
      </c>
      <c r="T211">
        <v>1</v>
      </c>
      <c r="U211">
        <v>1</v>
      </c>
      <c r="W211" s="44">
        <f t="shared" si="131"/>
        <v>0.79759055379999999</v>
      </c>
      <c r="X211" s="44">
        <f t="shared" si="116"/>
        <v>0.72273373600000002</v>
      </c>
      <c r="Y211" s="44">
        <f t="shared" si="117"/>
        <v>6.5164074299999999E-2</v>
      </c>
      <c r="Z211" s="44">
        <f t="shared" si="118"/>
        <v>1.1113389518400001</v>
      </c>
      <c r="AA211" s="44">
        <f t="shared" si="119"/>
        <v>0.13775298</v>
      </c>
      <c r="AB211" s="44">
        <f t="shared" si="120"/>
        <v>0.19098624814500001</v>
      </c>
      <c r="AC211" s="44">
        <f t="shared" si="121"/>
        <v>1.367943168</v>
      </c>
      <c r="AD211" s="44">
        <f t="shared" si="122"/>
        <v>1.091461062</v>
      </c>
      <c r="AF211" s="61" t="str">
        <f t="shared" si="132"/>
        <v>O38</v>
      </c>
      <c r="AG211" s="44">
        <f t="shared" si="133"/>
        <v>0.10925897997260274</v>
      </c>
      <c r="AH211" s="44">
        <f t="shared" si="123"/>
        <v>9.9004621369863016E-2</v>
      </c>
      <c r="AI211" s="44">
        <f t="shared" si="124"/>
        <v>8.9265855205479458E-3</v>
      </c>
      <c r="AJ211" s="44">
        <f t="shared" si="125"/>
        <v>0.15223821258082193</v>
      </c>
      <c r="AK211" s="44">
        <f t="shared" si="126"/>
        <v>2.7063453831041258E-2</v>
      </c>
      <c r="AL211" s="44">
        <f t="shared" si="127"/>
        <v>3.7521856217092343E-2</v>
      </c>
      <c r="AM211" s="44">
        <f t="shared" si="128"/>
        <v>0.34028437014925378</v>
      </c>
      <c r="AN211" s="44">
        <f t="shared" si="129"/>
        <v>0.27150772686567171</v>
      </c>
      <c r="AO211" s="44">
        <f t="shared" si="130"/>
        <v>0.11664772223008875</v>
      </c>
    </row>
    <row r="212" spans="1:41" ht="15.6" x14ac:dyDescent="0.25">
      <c r="A212" s="60"/>
      <c r="B212" s="62" t="s">
        <v>212</v>
      </c>
      <c r="C212" s="44">
        <v>0.3867654204</v>
      </c>
      <c r="D212" s="44">
        <v>0.38339272140000002</v>
      </c>
      <c r="E212" s="44">
        <v>0.81245559450000004</v>
      </c>
      <c r="F212" s="44">
        <v>0.42985752220000001</v>
      </c>
      <c r="G212" s="44">
        <v>0.26359021659999998</v>
      </c>
      <c r="H212" s="44">
        <v>0.30333730580000001</v>
      </c>
      <c r="I212" s="44">
        <v>0.76074773070000001</v>
      </c>
      <c r="J212" s="44">
        <v>0.37841984629999997</v>
      </c>
      <c r="K212" s="44">
        <f t="shared" si="115"/>
        <v>0.48033136554116906</v>
      </c>
      <c r="L212" s="58"/>
      <c r="N212">
        <v>1</v>
      </c>
      <c r="O212">
        <v>1</v>
      </c>
      <c r="P212">
        <v>1</v>
      </c>
      <c r="Q212">
        <v>1.02</v>
      </c>
      <c r="R212">
        <v>1</v>
      </c>
      <c r="S212">
        <v>1.05</v>
      </c>
      <c r="T212">
        <v>1</v>
      </c>
      <c r="U212">
        <v>1</v>
      </c>
      <c r="W212" s="44">
        <f t="shared" si="131"/>
        <v>0.3867654204</v>
      </c>
      <c r="X212" s="44">
        <f t="shared" si="116"/>
        <v>0.38339272140000002</v>
      </c>
      <c r="Y212" s="44">
        <f t="shared" si="117"/>
        <v>0.81245559450000004</v>
      </c>
      <c r="Z212" s="44">
        <f t="shared" si="118"/>
        <v>0.43845467264400001</v>
      </c>
      <c r="AA212" s="44">
        <f t="shared" si="119"/>
        <v>0.26359021659999998</v>
      </c>
      <c r="AB212" s="44">
        <f t="shared" si="120"/>
        <v>0.31850417109000001</v>
      </c>
      <c r="AC212" s="44">
        <f t="shared" si="121"/>
        <v>0.76074773070000001</v>
      </c>
      <c r="AD212" s="44">
        <f t="shared" si="122"/>
        <v>0.37841984629999997</v>
      </c>
      <c r="AF212" s="61" t="str">
        <f t="shared" si="132"/>
        <v>O39</v>
      </c>
      <c r="AG212" s="44">
        <f t="shared" si="133"/>
        <v>5.2981564438356166E-2</v>
      </c>
      <c r="AH212" s="44">
        <f t="shared" si="123"/>
        <v>5.2519550876712333E-2</v>
      </c>
      <c r="AI212" s="44">
        <f t="shared" si="124"/>
        <v>0.11129528691780823</v>
      </c>
      <c r="AJ212" s="44">
        <f t="shared" si="125"/>
        <v>6.006228392383562E-2</v>
      </c>
      <c r="AK212" s="44">
        <f t="shared" si="126"/>
        <v>5.1785897170923377E-2</v>
      </c>
      <c r="AL212" s="44">
        <f t="shared" si="127"/>
        <v>6.2574493337917494E-2</v>
      </c>
      <c r="AM212" s="44">
        <f t="shared" si="128"/>
        <v>0.18924072902985076</v>
      </c>
      <c r="AN212" s="44">
        <f t="shared" si="129"/>
        <v>9.4134290124378114E-2</v>
      </c>
      <c r="AO212" s="44">
        <f t="shared" si="130"/>
        <v>7.9631825157302702E-2</v>
      </c>
    </row>
    <row r="213" spans="1:41" ht="15.6" x14ac:dyDescent="0.25">
      <c r="A213" s="57"/>
      <c r="B213" s="62" t="s">
        <v>213</v>
      </c>
      <c r="C213" s="44">
        <v>2.363980293</v>
      </c>
      <c r="D213" s="44">
        <v>2.7746760849999998</v>
      </c>
      <c r="E213" s="44">
        <v>2.3351254460000002</v>
      </c>
      <c r="F213" s="44">
        <v>0.77413886789999997</v>
      </c>
      <c r="G213" s="44">
        <v>0.70711219309999995</v>
      </c>
      <c r="H213" s="44">
        <v>0.498573184</v>
      </c>
      <c r="I213" s="44">
        <v>1.117695332</v>
      </c>
      <c r="J213" s="44">
        <v>0.47055205700000002</v>
      </c>
      <c r="K213" s="44">
        <f t="shared" si="115"/>
        <v>1.3445368515674716</v>
      </c>
      <c r="L213" s="44"/>
      <c r="N213">
        <v>1</v>
      </c>
      <c r="O213">
        <v>1</v>
      </c>
      <c r="P213">
        <v>1</v>
      </c>
      <c r="Q213">
        <v>1.02</v>
      </c>
      <c r="R213">
        <v>1</v>
      </c>
      <c r="S213">
        <v>1.05</v>
      </c>
      <c r="T213">
        <v>1</v>
      </c>
      <c r="U213">
        <v>1</v>
      </c>
      <c r="W213" s="44">
        <f t="shared" si="131"/>
        <v>2.363980293</v>
      </c>
      <c r="X213" s="44">
        <f t="shared" si="116"/>
        <v>2.7746760849999998</v>
      </c>
      <c r="Y213" s="44">
        <f t="shared" si="117"/>
        <v>2.3351254460000002</v>
      </c>
      <c r="Z213" s="44">
        <f t="shared" si="118"/>
        <v>0.78962164525799994</v>
      </c>
      <c r="AA213" s="44">
        <f t="shared" si="119"/>
        <v>0.70711219309999995</v>
      </c>
      <c r="AB213" s="44">
        <f t="shared" si="120"/>
        <v>0.52350184320000004</v>
      </c>
      <c r="AC213" s="44">
        <f t="shared" si="121"/>
        <v>1.117695332</v>
      </c>
      <c r="AD213" s="44">
        <f t="shared" si="122"/>
        <v>0.47055205700000002</v>
      </c>
      <c r="AF213" s="61" t="str">
        <f t="shared" si="132"/>
        <v>O40</v>
      </c>
      <c r="AG213" s="44">
        <f t="shared" si="133"/>
        <v>0.32383291684931509</v>
      </c>
      <c r="AH213" s="44">
        <f t="shared" si="123"/>
        <v>0.38009261438356162</v>
      </c>
      <c r="AI213" s="44">
        <f t="shared" si="124"/>
        <v>0.31988019808219181</v>
      </c>
      <c r="AJ213" s="44">
        <f t="shared" si="125"/>
        <v>0.10816734866547945</v>
      </c>
      <c r="AK213" s="44">
        <f t="shared" si="126"/>
        <v>0.13892184540275049</v>
      </c>
      <c r="AL213" s="44">
        <f t="shared" si="127"/>
        <v>0.10284908510805502</v>
      </c>
      <c r="AM213" s="44">
        <f t="shared" si="128"/>
        <v>0.27803366467661694</v>
      </c>
      <c r="AN213" s="44">
        <f t="shared" si="129"/>
        <v>0.11705275049751246</v>
      </c>
      <c r="AO213" s="44">
        <f t="shared" si="130"/>
        <v>0.20683259674959895</v>
      </c>
    </row>
    <row r="214" spans="1:41" ht="15.6" x14ac:dyDescent="0.25">
      <c r="A214" s="60"/>
      <c r="B214" s="62" t="s">
        <v>214</v>
      </c>
      <c r="C214" s="44">
        <v>2.4274861809999999</v>
      </c>
      <c r="D214" s="44">
        <v>3.1141109469999999</v>
      </c>
      <c r="E214" s="44">
        <v>2.7107687</v>
      </c>
      <c r="F214" s="44">
        <v>1.268470883</v>
      </c>
      <c r="G214" s="44">
        <v>0.88628911970000002</v>
      </c>
      <c r="H214" s="44">
        <v>0.64185953139999996</v>
      </c>
      <c r="I214" s="44">
        <v>1.48635304</v>
      </c>
      <c r="J214" s="44">
        <v>1.2401793000000001</v>
      </c>
      <c r="K214" s="44">
        <f t="shared" si="115"/>
        <v>1.7120505340773826</v>
      </c>
      <c r="L214" s="58"/>
      <c r="N214">
        <v>1</v>
      </c>
      <c r="O214">
        <v>1</v>
      </c>
      <c r="P214">
        <v>1</v>
      </c>
      <c r="Q214">
        <v>1.02</v>
      </c>
      <c r="R214">
        <v>1</v>
      </c>
      <c r="S214">
        <v>1.05</v>
      </c>
      <c r="T214">
        <v>1</v>
      </c>
      <c r="U214">
        <v>1</v>
      </c>
      <c r="W214" s="44">
        <f t="shared" si="131"/>
        <v>2.4274861809999999</v>
      </c>
      <c r="X214" s="44">
        <f t="shared" si="116"/>
        <v>3.1141109469999999</v>
      </c>
      <c r="Y214" s="44">
        <f t="shared" si="117"/>
        <v>2.7107687</v>
      </c>
      <c r="Z214" s="44">
        <f t="shared" si="118"/>
        <v>1.2938403006600001</v>
      </c>
      <c r="AA214" s="44">
        <f t="shared" si="119"/>
        <v>0.88628911970000002</v>
      </c>
      <c r="AB214" s="44">
        <f t="shared" si="120"/>
        <v>0.67395250796999995</v>
      </c>
      <c r="AC214" s="44">
        <f t="shared" si="121"/>
        <v>1.48635304</v>
      </c>
      <c r="AD214" s="44">
        <f t="shared" si="122"/>
        <v>1.2401793000000001</v>
      </c>
      <c r="AF214" s="61" t="str">
        <f t="shared" si="132"/>
        <v>O41</v>
      </c>
      <c r="AG214" s="44">
        <f t="shared" si="133"/>
        <v>0.33253235356164385</v>
      </c>
      <c r="AH214" s="44">
        <f t="shared" si="123"/>
        <v>0.42659054068493152</v>
      </c>
      <c r="AI214" s="44">
        <f t="shared" si="124"/>
        <v>0.37133817808219177</v>
      </c>
      <c r="AJ214" s="44">
        <f t="shared" si="125"/>
        <v>0.17723839735068495</v>
      </c>
      <c r="AK214" s="44">
        <f t="shared" si="126"/>
        <v>0.17412359915520628</v>
      </c>
      <c r="AL214" s="44">
        <f t="shared" si="127"/>
        <v>0.13240717248919448</v>
      </c>
      <c r="AM214" s="44">
        <f t="shared" si="128"/>
        <v>0.36973956218905479</v>
      </c>
      <c r="AN214" s="44">
        <f t="shared" si="129"/>
        <v>0.30850231343283585</v>
      </c>
      <c r="AO214" s="44">
        <f t="shared" si="130"/>
        <v>0.26943091231402788</v>
      </c>
    </row>
    <row r="215" spans="1:41" ht="15.6" x14ac:dyDescent="0.25">
      <c r="A215" s="57"/>
      <c r="B215" s="62" t="s">
        <v>215</v>
      </c>
      <c r="C215" s="44">
        <v>0.93841195109999997</v>
      </c>
      <c r="D215" s="44">
        <v>0.58694106339999996</v>
      </c>
      <c r="E215" s="44">
        <v>2.7229647639999999</v>
      </c>
      <c r="F215" s="44">
        <v>1.26153636</v>
      </c>
      <c r="G215" s="44">
        <v>0.76371717449999998</v>
      </c>
      <c r="H215" s="44">
        <v>0.64358723159999998</v>
      </c>
      <c r="I215" s="44">
        <v>1.474753022</v>
      </c>
      <c r="J215" s="44">
        <v>1.4396946429999999</v>
      </c>
      <c r="K215" s="44">
        <f t="shared" si="115"/>
        <v>1.3496452334698859</v>
      </c>
      <c r="L215" s="44"/>
      <c r="N215">
        <v>1</v>
      </c>
      <c r="O215">
        <v>1</v>
      </c>
      <c r="P215">
        <v>1</v>
      </c>
      <c r="Q215">
        <v>1.02</v>
      </c>
      <c r="R215">
        <v>1</v>
      </c>
      <c r="S215">
        <v>1.05</v>
      </c>
      <c r="T215">
        <v>1</v>
      </c>
      <c r="U215">
        <v>1</v>
      </c>
      <c r="W215" s="44">
        <f t="shared" si="131"/>
        <v>0.93841195109999997</v>
      </c>
      <c r="X215" s="44">
        <f t="shared" si="116"/>
        <v>0.58694106339999996</v>
      </c>
      <c r="Y215" s="44">
        <f t="shared" si="117"/>
        <v>2.7229647639999999</v>
      </c>
      <c r="Z215" s="44">
        <f t="shared" si="118"/>
        <v>1.2867670872000001</v>
      </c>
      <c r="AA215" s="44">
        <f t="shared" si="119"/>
        <v>0.76371717449999998</v>
      </c>
      <c r="AB215" s="44">
        <f t="shared" si="120"/>
        <v>0.67576659317999999</v>
      </c>
      <c r="AC215" s="44">
        <f t="shared" si="121"/>
        <v>1.474753022</v>
      </c>
      <c r="AD215" s="44">
        <f t="shared" si="122"/>
        <v>1.4396946429999999</v>
      </c>
      <c r="AF215" s="61" t="str">
        <f t="shared" si="132"/>
        <v>O42</v>
      </c>
      <c r="AG215" s="44">
        <f t="shared" si="133"/>
        <v>0.12854958234246575</v>
      </c>
      <c r="AH215" s="44">
        <f t="shared" si="123"/>
        <v>8.0402885397260274E-2</v>
      </c>
      <c r="AI215" s="44">
        <f t="shared" si="124"/>
        <v>0.37300887178082193</v>
      </c>
      <c r="AJ215" s="44">
        <f t="shared" si="125"/>
        <v>0.17626946400000001</v>
      </c>
      <c r="AK215" s="44">
        <f t="shared" si="126"/>
        <v>0.15004266689587425</v>
      </c>
      <c r="AL215" s="44">
        <f t="shared" si="127"/>
        <v>0.13276357429862476</v>
      </c>
      <c r="AM215" s="44">
        <f t="shared" si="128"/>
        <v>0.36685398557213933</v>
      </c>
      <c r="AN215" s="44">
        <f t="shared" si="129"/>
        <v>0.35813299577114432</v>
      </c>
      <c r="AO215" s="44">
        <f t="shared" si="130"/>
        <v>0.22033038701605667</v>
      </c>
    </row>
    <row r="216" spans="1:41" ht="15.6" x14ac:dyDescent="0.25">
      <c r="A216" s="60"/>
      <c r="B216" s="62" t="s">
        <v>216</v>
      </c>
      <c r="C216" s="44">
        <v>0.32340005040000003</v>
      </c>
      <c r="D216" s="44">
        <v>0.3932289779</v>
      </c>
      <c r="E216" s="44">
        <v>0.87879073620000003</v>
      </c>
      <c r="F216" s="44">
        <v>0.88998126980000003</v>
      </c>
      <c r="G216" s="44">
        <v>0.64233452079999998</v>
      </c>
      <c r="H216" s="44">
        <v>0.29298165440000001</v>
      </c>
      <c r="I216" s="44">
        <v>1.4792042969999999</v>
      </c>
      <c r="J216" s="44">
        <v>1.4260436299999999</v>
      </c>
      <c r="K216" s="44">
        <f t="shared" si="115"/>
        <v>0.80757775634536222</v>
      </c>
      <c r="L216" s="58"/>
      <c r="N216">
        <v>1</v>
      </c>
      <c r="O216">
        <v>1</v>
      </c>
      <c r="P216">
        <v>1</v>
      </c>
      <c r="Q216">
        <v>1.02</v>
      </c>
      <c r="R216">
        <v>1</v>
      </c>
      <c r="S216">
        <v>1.05</v>
      </c>
      <c r="T216">
        <v>1</v>
      </c>
      <c r="U216">
        <v>1</v>
      </c>
      <c r="W216" s="44">
        <f t="shared" si="131"/>
        <v>0.32340005040000003</v>
      </c>
      <c r="X216" s="44">
        <f t="shared" si="116"/>
        <v>0.3932289779</v>
      </c>
      <c r="Y216" s="44">
        <f t="shared" si="117"/>
        <v>0.87879073620000003</v>
      </c>
      <c r="Z216" s="44">
        <f t="shared" si="118"/>
        <v>0.90778089519600003</v>
      </c>
      <c r="AA216" s="44">
        <f t="shared" si="119"/>
        <v>0.64233452079999998</v>
      </c>
      <c r="AB216" s="44">
        <f t="shared" si="120"/>
        <v>0.30763073712000005</v>
      </c>
      <c r="AC216" s="44">
        <f t="shared" si="121"/>
        <v>1.4792042969999999</v>
      </c>
      <c r="AD216" s="44">
        <f t="shared" si="122"/>
        <v>1.4260436299999999</v>
      </c>
      <c r="AF216" s="61" t="str">
        <f t="shared" si="132"/>
        <v>O43</v>
      </c>
      <c r="AG216" s="44">
        <f t="shared" si="133"/>
        <v>4.4301376767123292E-2</v>
      </c>
      <c r="AH216" s="44">
        <f t="shared" si="123"/>
        <v>5.3866983273972602E-2</v>
      </c>
      <c r="AI216" s="44">
        <f t="shared" si="124"/>
        <v>0.120382292630137</v>
      </c>
      <c r="AJ216" s="44">
        <f t="shared" si="125"/>
        <v>0.12435354728712329</v>
      </c>
      <c r="AK216" s="44">
        <f t="shared" si="126"/>
        <v>0.12619538719056975</v>
      </c>
      <c r="AL216" s="44">
        <f t="shared" si="127"/>
        <v>6.0438258766208265E-2</v>
      </c>
      <c r="AM216" s="44">
        <f t="shared" si="128"/>
        <v>0.36796126791044775</v>
      </c>
      <c r="AN216" s="44">
        <f t="shared" si="129"/>
        <v>0.35473722139303482</v>
      </c>
      <c r="AO216" s="44">
        <f t="shared" si="130"/>
        <v>0.14305381726154695</v>
      </c>
    </row>
    <row r="217" spans="1:41" ht="15.6" x14ac:dyDescent="0.25">
      <c r="A217" s="57"/>
      <c r="B217" s="62" t="s">
        <v>217</v>
      </c>
      <c r="C217" s="44">
        <v>0.2807287872</v>
      </c>
      <c r="D217" s="44">
        <v>9.0857699510000001E-2</v>
      </c>
      <c r="E217" s="44">
        <v>0.24249857659999999</v>
      </c>
      <c r="F217" s="44">
        <v>2.4336107079999999E-2</v>
      </c>
      <c r="G217" s="44">
        <v>0.34008193019999999</v>
      </c>
      <c r="H217" s="44">
        <v>0.21139472719999999</v>
      </c>
      <c r="I217" s="44">
        <v>1.443937778</v>
      </c>
      <c r="J217" s="44">
        <v>1.1748774049999999</v>
      </c>
      <c r="K217" s="44">
        <f t="shared" si="115"/>
        <v>0.34466326546856418</v>
      </c>
      <c r="L217" s="44"/>
      <c r="N217">
        <v>1</v>
      </c>
      <c r="O217">
        <v>1</v>
      </c>
      <c r="P217">
        <v>1</v>
      </c>
      <c r="Q217">
        <v>1.02</v>
      </c>
      <c r="R217">
        <v>1</v>
      </c>
      <c r="S217">
        <v>1.05</v>
      </c>
      <c r="T217">
        <v>1</v>
      </c>
      <c r="U217">
        <v>1</v>
      </c>
      <c r="W217" s="44">
        <f t="shared" si="131"/>
        <v>0.2807287872</v>
      </c>
      <c r="X217" s="44">
        <f t="shared" si="116"/>
        <v>9.0857699510000001E-2</v>
      </c>
      <c r="Y217" s="44">
        <f t="shared" si="117"/>
        <v>0.24249857659999999</v>
      </c>
      <c r="Z217" s="44">
        <f t="shared" si="118"/>
        <v>2.48228292216E-2</v>
      </c>
      <c r="AA217" s="44">
        <f t="shared" si="119"/>
        <v>0.34008193019999999</v>
      </c>
      <c r="AB217" s="44">
        <f t="shared" si="120"/>
        <v>0.22196446355999999</v>
      </c>
      <c r="AC217" s="44">
        <f t="shared" si="121"/>
        <v>1.443937778</v>
      </c>
      <c r="AD217" s="44">
        <f t="shared" si="122"/>
        <v>1.1748774049999999</v>
      </c>
      <c r="AF217" s="61" t="str">
        <f t="shared" si="132"/>
        <v>O44</v>
      </c>
      <c r="AG217" s="44">
        <f t="shared" si="133"/>
        <v>3.8455998246575342E-2</v>
      </c>
      <c r="AH217" s="44">
        <f t="shared" si="123"/>
        <v>1.2446260206849316E-2</v>
      </c>
      <c r="AI217" s="44">
        <f t="shared" si="124"/>
        <v>3.3218983095890407E-2</v>
      </c>
      <c r="AJ217" s="44">
        <f t="shared" si="125"/>
        <v>3.4003875646027399E-3</v>
      </c>
      <c r="AK217" s="44">
        <f t="shared" si="126"/>
        <v>6.681373874263262E-2</v>
      </c>
      <c r="AL217" s="44">
        <f t="shared" si="127"/>
        <v>4.3607949618860511E-2</v>
      </c>
      <c r="AM217" s="44">
        <f t="shared" si="128"/>
        <v>0.35918850199004981</v>
      </c>
      <c r="AN217" s="44">
        <f t="shared" si="129"/>
        <v>0.29225806094527362</v>
      </c>
      <c r="AO217" s="44">
        <f t="shared" si="130"/>
        <v>7.3631430182475199E-2</v>
      </c>
    </row>
    <row r="218" spans="1:41" ht="15.6" x14ac:dyDescent="0.25">
      <c r="A218" s="60"/>
      <c r="B218" s="62" t="s">
        <v>218</v>
      </c>
      <c r="C218" s="44">
        <v>1.4788893460000001</v>
      </c>
      <c r="D218" s="44">
        <v>0.42531678080000002</v>
      </c>
      <c r="E218" s="44">
        <v>0.30981269480000001</v>
      </c>
      <c r="F218" s="44">
        <v>1.5750784870000001</v>
      </c>
      <c r="G218" s="44">
        <v>0.1677942127</v>
      </c>
      <c r="H218" s="44">
        <v>0.6350263357</v>
      </c>
      <c r="I218" s="44">
        <v>0.47146901489999998</v>
      </c>
      <c r="J218" s="44">
        <v>0.89299058909999995</v>
      </c>
      <c r="K218" s="44">
        <f t="shared" si="115"/>
        <v>0.83164147315921233</v>
      </c>
      <c r="L218" s="58"/>
      <c r="N218">
        <v>1</v>
      </c>
      <c r="O218">
        <v>1</v>
      </c>
      <c r="P218">
        <v>1</v>
      </c>
      <c r="Q218">
        <v>1.02</v>
      </c>
      <c r="R218">
        <v>1</v>
      </c>
      <c r="S218">
        <v>1.05</v>
      </c>
      <c r="T218">
        <v>1</v>
      </c>
      <c r="U218">
        <v>1</v>
      </c>
      <c r="W218" s="44">
        <f t="shared" si="131"/>
        <v>1.4788893460000001</v>
      </c>
      <c r="X218" s="44">
        <f t="shared" si="116"/>
        <v>0.42531678080000002</v>
      </c>
      <c r="Y218" s="44">
        <f t="shared" si="117"/>
        <v>0.30981269480000001</v>
      </c>
      <c r="Z218" s="44">
        <f t="shared" si="118"/>
        <v>1.6065800567400002</v>
      </c>
      <c r="AA218" s="44">
        <f t="shared" si="119"/>
        <v>0.1677942127</v>
      </c>
      <c r="AB218" s="44">
        <f t="shared" si="120"/>
        <v>0.66677765248499998</v>
      </c>
      <c r="AC218" s="44">
        <f t="shared" si="121"/>
        <v>0.47146901489999998</v>
      </c>
      <c r="AD218" s="44">
        <f t="shared" si="122"/>
        <v>0.89299058909999995</v>
      </c>
      <c r="AF218" s="61" t="str">
        <f t="shared" si="132"/>
        <v>O45</v>
      </c>
      <c r="AG218" s="44">
        <f t="shared" si="133"/>
        <v>0.20258758164383564</v>
      </c>
      <c r="AH218" s="44">
        <f t="shared" si="123"/>
        <v>5.8262572712328771E-2</v>
      </c>
      <c r="AI218" s="44">
        <f t="shared" si="124"/>
        <v>4.2440095178082192E-2</v>
      </c>
      <c r="AJ218" s="44">
        <f t="shared" si="125"/>
        <v>0.22007945982739729</v>
      </c>
      <c r="AK218" s="44">
        <f t="shared" si="126"/>
        <v>3.2965464184675837E-2</v>
      </c>
      <c r="AL218" s="44">
        <f t="shared" si="127"/>
        <v>0.13099757416208252</v>
      </c>
      <c r="AM218" s="44">
        <f t="shared" si="128"/>
        <v>0.11728084947761194</v>
      </c>
      <c r="AN218" s="44">
        <f t="shared" si="129"/>
        <v>0.22213696246268658</v>
      </c>
      <c r="AO218" s="44">
        <f t="shared" si="130"/>
        <v>0.13116241575667945</v>
      </c>
    </row>
    <row r="219" spans="1:41" ht="15.6" x14ac:dyDescent="0.25">
      <c r="A219" s="57"/>
      <c r="B219" s="62" t="s">
        <v>219</v>
      </c>
      <c r="C219" s="44">
        <v>1.3115428689999999</v>
      </c>
      <c r="D219" s="44">
        <v>0.41280996800000003</v>
      </c>
      <c r="E219" s="44">
        <v>0.22758588190000001</v>
      </c>
      <c r="F219" s="44">
        <v>1.4744410509999999</v>
      </c>
      <c r="G219" s="44">
        <v>0.42655152079999997</v>
      </c>
      <c r="H219" s="44">
        <v>0.50751423839999998</v>
      </c>
      <c r="I219" s="44">
        <v>1.476715088</v>
      </c>
      <c r="J219" s="44">
        <v>1.186945081</v>
      </c>
      <c r="K219" s="44">
        <f t="shared" si="115"/>
        <v>0.90320266988182973</v>
      </c>
      <c r="L219" s="44"/>
      <c r="N219">
        <v>1</v>
      </c>
      <c r="O219">
        <v>1</v>
      </c>
      <c r="P219">
        <v>1</v>
      </c>
      <c r="Q219">
        <v>1.02</v>
      </c>
      <c r="R219">
        <v>1</v>
      </c>
      <c r="S219">
        <v>1.05</v>
      </c>
      <c r="T219">
        <v>1</v>
      </c>
      <c r="U219">
        <v>1</v>
      </c>
      <c r="W219" s="44">
        <f t="shared" si="131"/>
        <v>1.3115428689999999</v>
      </c>
      <c r="X219" s="44">
        <f t="shared" si="116"/>
        <v>0.41280996800000003</v>
      </c>
      <c r="Y219" s="44">
        <f t="shared" si="117"/>
        <v>0.22758588190000001</v>
      </c>
      <c r="Z219" s="44">
        <f t="shared" si="118"/>
        <v>1.5039298720199998</v>
      </c>
      <c r="AA219" s="44">
        <f t="shared" si="119"/>
        <v>0.42655152079999997</v>
      </c>
      <c r="AB219" s="44">
        <f t="shared" si="120"/>
        <v>0.53288995031999997</v>
      </c>
      <c r="AC219" s="44">
        <f t="shared" si="121"/>
        <v>1.476715088</v>
      </c>
      <c r="AD219" s="44">
        <f t="shared" si="122"/>
        <v>1.186945081</v>
      </c>
      <c r="AF219" s="61" t="str">
        <f t="shared" si="132"/>
        <v>O46</v>
      </c>
      <c r="AG219" s="44">
        <f t="shared" si="133"/>
        <v>0.17966340671232878</v>
      </c>
      <c r="AH219" s="44">
        <f t="shared" si="123"/>
        <v>5.6549310684931513E-2</v>
      </c>
      <c r="AI219" s="44">
        <f t="shared" si="124"/>
        <v>3.1176148205479454E-2</v>
      </c>
      <c r="AJ219" s="44">
        <f t="shared" si="125"/>
        <v>0.2060177906876712</v>
      </c>
      <c r="AK219" s="44">
        <f t="shared" si="126"/>
        <v>8.3801870491159128E-2</v>
      </c>
      <c r="AL219" s="44">
        <f t="shared" si="127"/>
        <v>0.10469350693909626</v>
      </c>
      <c r="AM219" s="44">
        <f t="shared" si="128"/>
        <v>0.36734206169154232</v>
      </c>
      <c r="AN219" s="44">
        <f t="shared" si="129"/>
        <v>0.29525997039801</v>
      </c>
      <c r="AO219" s="44">
        <f t="shared" si="130"/>
        <v>0.15377660564885512</v>
      </c>
    </row>
    <row r="220" spans="1:41" ht="15.6" x14ac:dyDescent="0.25">
      <c r="A220" s="60"/>
      <c r="B220" s="62" t="s">
        <v>220</v>
      </c>
      <c r="C220" s="44">
        <v>0.89386856560000005</v>
      </c>
      <c r="D220" s="44">
        <v>0.29008516670000001</v>
      </c>
      <c r="E220" s="44">
        <v>1.1483299730000001</v>
      </c>
      <c r="F220" s="44">
        <v>0.3241375983</v>
      </c>
      <c r="G220" s="44">
        <v>0.66413176060000001</v>
      </c>
      <c r="H220" s="44">
        <v>0.43327942489999999</v>
      </c>
      <c r="I220" s="44">
        <v>1.474015117</v>
      </c>
      <c r="J220" s="44">
        <v>1.2377253770000001</v>
      </c>
      <c r="K220" s="44">
        <f t="shared" si="115"/>
        <v>0.72600607427141051</v>
      </c>
      <c r="L220" s="58"/>
      <c r="N220">
        <v>1</v>
      </c>
      <c r="O220">
        <v>1</v>
      </c>
      <c r="P220">
        <v>1</v>
      </c>
      <c r="Q220">
        <v>1.02</v>
      </c>
      <c r="R220">
        <v>1</v>
      </c>
      <c r="S220">
        <v>1.05</v>
      </c>
      <c r="T220">
        <v>1</v>
      </c>
      <c r="U220">
        <v>1</v>
      </c>
      <c r="W220" s="44">
        <f t="shared" si="131"/>
        <v>0.89386856560000005</v>
      </c>
      <c r="X220" s="44">
        <f t="shared" si="116"/>
        <v>0.29008516670000001</v>
      </c>
      <c r="Y220" s="44">
        <f t="shared" si="117"/>
        <v>1.1483299730000001</v>
      </c>
      <c r="Z220" s="44">
        <f t="shared" si="118"/>
        <v>0.33062035026600001</v>
      </c>
      <c r="AA220" s="44">
        <f t="shared" si="119"/>
        <v>0.66413176060000001</v>
      </c>
      <c r="AB220" s="44">
        <f t="shared" si="120"/>
        <v>0.45494339614500001</v>
      </c>
      <c r="AC220" s="44">
        <f t="shared" si="121"/>
        <v>1.474015117</v>
      </c>
      <c r="AD220" s="44">
        <f t="shared" si="122"/>
        <v>1.2377253770000001</v>
      </c>
      <c r="AF220" s="61" t="str">
        <f t="shared" si="132"/>
        <v>O47</v>
      </c>
      <c r="AG220" s="44">
        <f t="shared" si="133"/>
        <v>0.12244774871232877</v>
      </c>
      <c r="AH220" s="44">
        <f t="shared" si="123"/>
        <v>3.9737694068493153E-2</v>
      </c>
      <c r="AI220" s="44">
        <f t="shared" si="124"/>
        <v>0.15730547575342466</v>
      </c>
      <c r="AJ220" s="44">
        <f t="shared" si="125"/>
        <v>4.5290458940547951E-2</v>
      </c>
      <c r="AK220" s="44">
        <f t="shared" si="126"/>
        <v>0.13047775257367389</v>
      </c>
      <c r="AL220" s="44">
        <f t="shared" si="127"/>
        <v>8.9379842071709237E-2</v>
      </c>
      <c r="AM220" s="44">
        <f t="shared" si="128"/>
        <v>0.36667042711442788</v>
      </c>
      <c r="AN220" s="44">
        <f t="shared" si="129"/>
        <v>0.30789188482587071</v>
      </c>
      <c r="AO220" s="44">
        <f t="shared" si="130"/>
        <v>0.13065037755916084</v>
      </c>
    </row>
    <row r="221" spans="1:41" ht="15.6" x14ac:dyDescent="0.25">
      <c r="A221" s="57"/>
      <c r="B221" s="62" t="s">
        <v>221</v>
      </c>
      <c r="C221" s="44">
        <v>0.15708138050000001</v>
      </c>
      <c r="D221" s="44">
        <v>0.12531450390000001</v>
      </c>
      <c r="E221" s="44">
        <v>0.48796668650000002</v>
      </c>
      <c r="F221" s="44">
        <v>0.25418791169999999</v>
      </c>
      <c r="G221" s="44">
        <v>0.44489356880000003</v>
      </c>
      <c r="H221" s="44">
        <v>0.2086152285</v>
      </c>
      <c r="I221" s="44">
        <v>1.0554212329999999</v>
      </c>
      <c r="J221" s="44">
        <v>0.41742768879999997</v>
      </c>
      <c r="K221" s="44">
        <f t="shared" si="115"/>
        <v>0.37499063034548918</v>
      </c>
      <c r="L221" s="44"/>
      <c r="N221">
        <v>1</v>
      </c>
      <c r="O221">
        <v>1</v>
      </c>
      <c r="P221">
        <v>1</v>
      </c>
      <c r="Q221">
        <v>1.02</v>
      </c>
      <c r="R221">
        <v>1</v>
      </c>
      <c r="S221">
        <v>1.05</v>
      </c>
      <c r="T221">
        <v>1</v>
      </c>
      <c r="U221">
        <v>1</v>
      </c>
      <c r="W221" s="44">
        <f t="shared" si="131"/>
        <v>0.15708138050000001</v>
      </c>
      <c r="X221" s="44">
        <f t="shared" si="116"/>
        <v>0.12531450390000001</v>
      </c>
      <c r="Y221" s="44">
        <f t="shared" si="117"/>
        <v>0.48796668650000002</v>
      </c>
      <c r="Z221" s="44">
        <f t="shared" si="118"/>
        <v>0.25927166993399997</v>
      </c>
      <c r="AA221" s="44">
        <f t="shared" si="119"/>
        <v>0.44489356880000003</v>
      </c>
      <c r="AB221" s="44">
        <f t="shared" si="120"/>
        <v>0.21904598992500002</v>
      </c>
      <c r="AC221" s="44">
        <f t="shared" si="121"/>
        <v>1.0554212329999999</v>
      </c>
      <c r="AD221" s="44">
        <f t="shared" si="122"/>
        <v>0.41742768879999997</v>
      </c>
      <c r="AF221" s="61" t="str">
        <f t="shared" si="132"/>
        <v>O48</v>
      </c>
      <c r="AG221" s="44">
        <f t="shared" si="133"/>
        <v>2.1517997328767125E-2</v>
      </c>
      <c r="AH221" s="44">
        <f t="shared" si="123"/>
        <v>1.7166370397260277E-2</v>
      </c>
      <c r="AI221" s="44">
        <f t="shared" si="124"/>
        <v>6.6844751575342476E-2</v>
      </c>
      <c r="AJ221" s="44">
        <f t="shared" si="125"/>
        <v>3.5516667114246572E-2</v>
      </c>
      <c r="AK221" s="44">
        <f t="shared" si="126"/>
        <v>8.7405416267190575E-2</v>
      </c>
      <c r="AL221" s="44">
        <f t="shared" si="127"/>
        <v>4.3034575623772109E-2</v>
      </c>
      <c r="AM221" s="44">
        <f t="shared" si="128"/>
        <v>0.26254259527363183</v>
      </c>
      <c r="AN221" s="44">
        <f t="shared" si="129"/>
        <v>0.10383773353233831</v>
      </c>
      <c r="AO221" s="44">
        <f t="shared" si="130"/>
        <v>6.9064368751704214E-2</v>
      </c>
    </row>
    <row r="222" spans="1:41" ht="15.6" x14ac:dyDescent="0.25">
      <c r="A222" s="60"/>
      <c r="B222" s="62" t="s">
        <v>222</v>
      </c>
      <c r="C222" s="44">
        <v>0.14658454060000001</v>
      </c>
      <c r="D222" s="44">
        <v>0.19040885569999999</v>
      </c>
      <c r="E222" s="44">
        <v>1.9540181160000001</v>
      </c>
      <c r="F222" s="44">
        <v>0.56487226489999998</v>
      </c>
      <c r="G222" s="44">
        <v>0.66159331799999999</v>
      </c>
      <c r="H222" s="44">
        <v>0.5556218624</v>
      </c>
      <c r="I222" s="44">
        <v>1.496874571</v>
      </c>
      <c r="J222" s="44">
        <v>1.3952623609999999</v>
      </c>
      <c r="K222" s="44">
        <f t="shared" si="115"/>
        <v>0.89210043908322756</v>
      </c>
      <c r="L222" s="58"/>
      <c r="N222">
        <v>1</v>
      </c>
      <c r="O222">
        <v>1</v>
      </c>
      <c r="P222">
        <v>1</v>
      </c>
      <c r="Q222">
        <v>1.02</v>
      </c>
      <c r="R222">
        <v>1</v>
      </c>
      <c r="S222">
        <v>1.05</v>
      </c>
      <c r="T222">
        <v>1</v>
      </c>
      <c r="U222">
        <v>1</v>
      </c>
      <c r="W222" s="44">
        <f t="shared" si="131"/>
        <v>0.14658454060000001</v>
      </c>
      <c r="X222" s="44">
        <f t="shared" si="116"/>
        <v>0.19040885569999999</v>
      </c>
      <c r="Y222" s="44">
        <f t="shared" si="117"/>
        <v>1.9540181160000001</v>
      </c>
      <c r="Z222" s="44">
        <f t="shared" si="118"/>
        <v>0.57616971019800001</v>
      </c>
      <c r="AA222" s="44">
        <f t="shared" si="119"/>
        <v>0.66159331799999999</v>
      </c>
      <c r="AB222" s="44">
        <f t="shared" si="120"/>
        <v>0.58340295551999999</v>
      </c>
      <c r="AC222" s="44">
        <f t="shared" si="121"/>
        <v>1.496874571</v>
      </c>
      <c r="AD222" s="44">
        <f t="shared" si="122"/>
        <v>1.3952623609999999</v>
      </c>
      <c r="AF222" s="61" t="str">
        <f t="shared" si="132"/>
        <v>O49</v>
      </c>
      <c r="AG222" s="44">
        <f t="shared" si="133"/>
        <v>2.0080074054794523E-2</v>
      </c>
      <c r="AH222" s="44">
        <f t="shared" si="123"/>
        <v>2.6083404890410958E-2</v>
      </c>
      <c r="AI222" s="44">
        <f t="shared" si="124"/>
        <v>0.26767371452054795</v>
      </c>
      <c r="AJ222" s="44">
        <f t="shared" si="125"/>
        <v>7.8927357561369871E-2</v>
      </c>
      <c r="AK222" s="44">
        <f t="shared" si="126"/>
        <v>0.12997904086444009</v>
      </c>
      <c r="AL222" s="44">
        <f t="shared" si="127"/>
        <v>0.1146174765265226</v>
      </c>
      <c r="AM222" s="44">
        <f t="shared" si="128"/>
        <v>0.37235685845771149</v>
      </c>
      <c r="AN222" s="44">
        <f t="shared" si="129"/>
        <v>0.34708018930348261</v>
      </c>
      <c r="AO222" s="44">
        <f t="shared" si="130"/>
        <v>0.15566258571580785</v>
      </c>
    </row>
    <row r="223" spans="1:41" ht="15.6" x14ac:dyDescent="0.25">
      <c r="A223" s="57"/>
      <c r="B223" s="62" t="s">
        <v>223</v>
      </c>
      <c r="C223" s="44">
        <v>7.5180210169999998E-2</v>
      </c>
      <c r="D223" s="44">
        <v>0.73659121989999998</v>
      </c>
      <c r="E223" s="44">
        <v>2.3439078329999998</v>
      </c>
      <c r="F223" s="44">
        <v>1.679458857</v>
      </c>
      <c r="G223" s="44">
        <v>0.44325166939999999</v>
      </c>
      <c r="H223" s="44">
        <v>0.56478404999999998</v>
      </c>
      <c r="I223" s="44">
        <v>1.5981625319999999</v>
      </c>
      <c r="J223" s="44">
        <v>1.5242947339999999</v>
      </c>
      <c r="K223" s="44">
        <f t="shared" si="115"/>
        <v>1.3147982480573952</v>
      </c>
      <c r="L223" s="44"/>
      <c r="N223">
        <v>1</v>
      </c>
      <c r="O223">
        <v>1</v>
      </c>
      <c r="P223">
        <v>1</v>
      </c>
      <c r="Q223">
        <v>1.02</v>
      </c>
      <c r="R223">
        <v>1</v>
      </c>
      <c r="S223">
        <v>1.05</v>
      </c>
      <c r="T223">
        <v>1</v>
      </c>
      <c r="U223">
        <v>1</v>
      </c>
      <c r="W223" s="44">
        <f t="shared" si="131"/>
        <v>7.5180210169999998E-2</v>
      </c>
      <c r="X223" s="44">
        <f t="shared" si="116"/>
        <v>0.73659121989999998</v>
      </c>
      <c r="Y223" s="44">
        <f t="shared" si="117"/>
        <v>2.3439078329999998</v>
      </c>
      <c r="Z223" s="44">
        <f t="shared" si="118"/>
        <v>1.7130480341400001</v>
      </c>
      <c r="AA223" s="44">
        <f t="shared" si="119"/>
        <v>0.44325166939999999</v>
      </c>
      <c r="AB223" s="44">
        <f t="shared" si="120"/>
        <v>0.59302325249999999</v>
      </c>
      <c r="AC223" s="44">
        <f t="shared" si="121"/>
        <v>1.5981625319999999</v>
      </c>
      <c r="AD223" s="44">
        <f t="shared" si="122"/>
        <v>1.5242947339999999</v>
      </c>
      <c r="AF223" s="61" t="str">
        <f t="shared" si="132"/>
        <v>O50</v>
      </c>
      <c r="AG223" s="44">
        <f t="shared" si="133"/>
        <v>1.029865892739726E-2</v>
      </c>
      <c r="AH223" s="44">
        <f t="shared" si="123"/>
        <v>0.10090290683561644</v>
      </c>
      <c r="AI223" s="44">
        <f t="shared" si="124"/>
        <v>0.32108326479452054</v>
      </c>
      <c r="AJ223" s="44">
        <f t="shared" si="125"/>
        <v>0.23466411426575343</v>
      </c>
      <c r="AK223" s="44">
        <f t="shared" si="126"/>
        <v>8.7082842711198427E-2</v>
      </c>
      <c r="AL223" s="44">
        <f t="shared" si="127"/>
        <v>0.11650751522593321</v>
      </c>
      <c r="AM223" s="44">
        <f t="shared" si="128"/>
        <v>0.39755286865671646</v>
      </c>
      <c r="AN223" s="44">
        <f t="shared" si="129"/>
        <v>0.37917779452736322</v>
      </c>
      <c r="AO223" s="44">
        <f t="shared" si="130"/>
        <v>0.21462361305826408</v>
      </c>
    </row>
    <row r="224" spans="1:41" ht="15.6" x14ac:dyDescent="0.25">
      <c r="A224" s="60"/>
      <c r="B224" s="62" t="s">
        <v>224</v>
      </c>
      <c r="C224" s="44">
        <v>2.159455538</v>
      </c>
      <c r="D224" s="44">
        <v>2.8123481269999999</v>
      </c>
      <c r="E224" s="44">
        <v>2.9533941750000001</v>
      </c>
      <c r="F224" s="44">
        <v>2.6080484390000001</v>
      </c>
      <c r="G224" s="44">
        <v>0.78815972810000001</v>
      </c>
      <c r="H224" s="44">
        <v>0.75968384739999995</v>
      </c>
      <c r="I224" s="44">
        <v>1.5204604859999999</v>
      </c>
      <c r="J224" s="44">
        <v>1.3722811939999999</v>
      </c>
      <c r="K224" s="44">
        <f t="shared" si="115"/>
        <v>2.0949599022290979</v>
      </c>
      <c r="L224" s="58"/>
      <c r="N224">
        <v>1</v>
      </c>
      <c r="O224">
        <v>1</v>
      </c>
      <c r="P224">
        <v>1</v>
      </c>
      <c r="Q224">
        <v>1.02</v>
      </c>
      <c r="R224">
        <v>1</v>
      </c>
      <c r="S224">
        <v>1.05</v>
      </c>
      <c r="T224">
        <v>1</v>
      </c>
      <c r="U224">
        <v>1</v>
      </c>
      <c r="W224" s="44">
        <f t="shared" si="131"/>
        <v>2.159455538</v>
      </c>
      <c r="X224" s="44">
        <f t="shared" si="116"/>
        <v>2.8123481269999999</v>
      </c>
      <c r="Y224" s="44">
        <f t="shared" si="117"/>
        <v>2.9533941750000001</v>
      </c>
      <c r="Z224" s="44">
        <f t="shared" si="118"/>
        <v>2.66020940778</v>
      </c>
      <c r="AA224" s="44">
        <f t="shared" si="119"/>
        <v>0.78815972810000001</v>
      </c>
      <c r="AB224" s="44">
        <f t="shared" si="120"/>
        <v>0.79766803977</v>
      </c>
      <c r="AC224" s="44">
        <f t="shared" si="121"/>
        <v>1.5204604859999999</v>
      </c>
      <c r="AD224" s="44">
        <f t="shared" si="122"/>
        <v>1.3722811939999999</v>
      </c>
      <c r="AF224" s="61" t="str">
        <f t="shared" si="132"/>
        <v>O51</v>
      </c>
      <c r="AG224" s="44">
        <f t="shared" si="133"/>
        <v>0.29581582712328769</v>
      </c>
      <c r="AH224" s="44">
        <f t="shared" si="123"/>
        <v>0.38525316808219179</v>
      </c>
      <c r="AI224" s="44">
        <f t="shared" si="124"/>
        <v>0.40457454452054797</v>
      </c>
      <c r="AJ224" s="44">
        <f t="shared" si="125"/>
        <v>0.36441224764109592</v>
      </c>
      <c r="AK224" s="44">
        <f t="shared" si="126"/>
        <v>0.1548447402946955</v>
      </c>
      <c r="AL224" s="44">
        <f t="shared" si="127"/>
        <v>0.15671277795088409</v>
      </c>
      <c r="AM224" s="44">
        <f t="shared" si="128"/>
        <v>0.37822400149253732</v>
      </c>
      <c r="AN224" s="44">
        <f t="shared" si="129"/>
        <v>0.34136348109452735</v>
      </c>
      <c r="AO224" s="44">
        <f t="shared" si="130"/>
        <v>0.32406743972314217</v>
      </c>
    </row>
    <row r="225" spans="1:41" ht="15.6" x14ac:dyDescent="0.25">
      <c r="A225" s="57"/>
      <c r="B225" s="62" t="s">
        <v>232</v>
      </c>
      <c r="C225" s="44">
        <v>2.4373772140000001</v>
      </c>
      <c r="D225" s="44">
        <v>3.192816257</v>
      </c>
      <c r="E225" s="44">
        <v>2.714017868</v>
      </c>
      <c r="F225" s="44">
        <v>1.893660903</v>
      </c>
      <c r="G225" s="44">
        <v>0.2474770546</v>
      </c>
      <c r="H225" s="44">
        <v>0.74708002809999996</v>
      </c>
      <c r="I225" s="44">
        <v>1.785720706</v>
      </c>
      <c r="J225" s="44">
        <v>1.601444721</v>
      </c>
      <c r="K225" s="44">
        <f t="shared" si="115"/>
        <v>1.8673892848054641</v>
      </c>
      <c r="L225" s="44"/>
      <c r="N225">
        <v>1</v>
      </c>
      <c r="O225">
        <v>1</v>
      </c>
      <c r="P225">
        <v>1</v>
      </c>
      <c r="Q225">
        <v>1.02</v>
      </c>
      <c r="R225">
        <v>1</v>
      </c>
      <c r="S225">
        <v>1.05</v>
      </c>
      <c r="T225">
        <v>1</v>
      </c>
      <c r="U225">
        <v>1</v>
      </c>
      <c r="W225" s="44">
        <f t="shared" si="131"/>
        <v>2.4373772140000001</v>
      </c>
      <c r="X225" s="44">
        <f t="shared" si="116"/>
        <v>3.192816257</v>
      </c>
      <c r="Y225" s="44">
        <f t="shared" si="117"/>
        <v>2.714017868</v>
      </c>
      <c r="Z225" s="44">
        <f t="shared" si="118"/>
        <v>1.9315341210600001</v>
      </c>
      <c r="AA225" s="44">
        <f t="shared" si="119"/>
        <v>0.2474770546</v>
      </c>
      <c r="AB225" s="44">
        <f t="shared" si="120"/>
        <v>0.78443402950499996</v>
      </c>
      <c r="AC225" s="44">
        <f t="shared" si="121"/>
        <v>1.785720706</v>
      </c>
      <c r="AD225" s="44">
        <f t="shared" si="122"/>
        <v>1.601444721</v>
      </c>
      <c r="AF225" s="61" t="str">
        <f t="shared" si="132"/>
        <v>O52</v>
      </c>
      <c r="AG225" s="44">
        <f t="shared" si="133"/>
        <v>0.33388728958904113</v>
      </c>
      <c r="AH225" s="44">
        <f t="shared" si="123"/>
        <v>0.43737208999999999</v>
      </c>
      <c r="AI225" s="44">
        <f t="shared" si="124"/>
        <v>0.37178326958904112</v>
      </c>
      <c r="AJ225" s="44">
        <f t="shared" si="125"/>
        <v>0.26459371521369868</v>
      </c>
      <c r="AK225" s="44">
        <f t="shared" si="126"/>
        <v>4.8620246483300593E-2</v>
      </c>
      <c r="AL225" s="44">
        <f t="shared" si="127"/>
        <v>0.15411277593418468</v>
      </c>
      <c r="AM225" s="44">
        <f t="shared" si="128"/>
        <v>0.44420913084577118</v>
      </c>
      <c r="AN225" s="44">
        <f t="shared" si="129"/>
        <v>0.39836933358208959</v>
      </c>
      <c r="AO225" s="44">
        <f t="shared" si="130"/>
        <v>0.29199520768541137</v>
      </c>
    </row>
    <row r="226" spans="1:41" ht="15.6" x14ac:dyDescent="0.25">
      <c r="A226" s="60"/>
      <c r="B226" s="62" t="s">
        <v>233</v>
      </c>
      <c r="C226" s="44">
        <v>1.9344296459999999</v>
      </c>
      <c r="D226" s="44">
        <v>3.0537943840000001</v>
      </c>
      <c r="E226" s="44">
        <v>2.4605333809999999</v>
      </c>
      <c r="F226" s="44">
        <v>1.5001156330000001</v>
      </c>
      <c r="G226" s="44">
        <v>0.13505434990000001</v>
      </c>
      <c r="H226" s="44">
        <v>0.68787717820000005</v>
      </c>
      <c r="I226" s="44">
        <v>1.9965063329999999</v>
      </c>
      <c r="J226" s="44">
        <v>1.8071089979999999</v>
      </c>
      <c r="K226" s="44">
        <f t="shared" si="115"/>
        <v>1.6695560599320205</v>
      </c>
      <c r="L226" s="58"/>
      <c r="N226">
        <v>1</v>
      </c>
      <c r="O226">
        <v>1</v>
      </c>
      <c r="P226">
        <v>1</v>
      </c>
      <c r="Q226">
        <v>1.02</v>
      </c>
      <c r="R226">
        <v>1</v>
      </c>
      <c r="S226">
        <v>1.05</v>
      </c>
      <c r="T226">
        <v>1</v>
      </c>
      <c r="U226">
        <v>1</v>
      </c>
      <c r="W226" s="44">
        <f t="shared" si="131"/>
        <v>1.9344296459999999</v>
      </c>
      <c r="X226" s="44">
        <f t="shared" si="116"/>
        <v>3.0537943840000001</v>
      </c>
      <c r="Y226" s="44">
        <f t="shared" si="117"/>
        <v>2.4605333809999999</v>
      </c>
      <c r="Z226" s="44">
        <f t="shared" si="118"/>
        <v>1.53011794566</v>
      </c>
      <c r="AA226" s="44">
        <f t="shared" si="119"/>
        <v>0.13505434990000001</v>
      </c>
      <c r="AB226" s="44">
        <f t="shared" si="120"/>
        <v>0.72227103711000007</v>
      </c>
      <c r="AC226" s="44">
        <f t="shared" si="121"/>
        <v>1.9965063329999999</v>
      </c>
      <c r="AD226" s="44">
        <f t="shared" si="122"/>
        <v>1.8071089979999999</v>
      </c>
      <c r="AF226" s="61" t="str">
        <f t="shared" si="132"/>
        <v>O53</v>
      </c>
      <c r="AG226" s="44">
        <f t="shared" si="133"/>
        <v>0.26499036246575342</v>
      </c>
      <c r="AH226" s="44">
        <f t="shared" si="123"/>
        <v>0.41832799780821922</v>
      </c>
      <c r="AI226" s="44">
        <f t="shared" si="124"/>
        <v>0.33705936726027397</v>
      </c>
      <c r="AJ226" s="44">
        <f t="shared" si="125"/>
        <v>0.20960519803561645</v>
      </c>
      <c r="AK226" s="44">
        <f t="shared" si="126"/>
        <v>2.6533271100196466E-2</v>
      </c>
      <c r="AL226" s="44">
        <f t="shared" si="127"/>
        <v>0.14190000729076624</v>
      </c>
      <c r="AM226" s="44">
        <f t="shared" si="128"/>
        <v>0.49664336641791046</v>
      </c>
      <c r="AN226" s="44">
        <f t="shared" si="129"/>
        <v>0.44952960149253735</v>
      </c>
      <c r="AO226" s="44">
        <f t="shared" si="130"/>
        <v>0.26694644168080084</v>
      </c>
    </row>
    <row r="227" spans="1:41" ht="15.6" x14ac:dyDescent="0.25">
      <c r="A227" s="57"/>
      <c r="B227" s="62" t="s">
        <v>234</v>
      </c>
      <c r="C227" s="44">
        <v>0.33782258630000001</v>
      </c>
      <c r="D227" s="44">
        <v>2.6119241710000001</v>
      </c>
      <c r="E227" s="44">
        <v>2.1951332090000002</v>
      </c>
      <c r="F227" s="44">
        <v>1.480924964</v>
      </c>
      <c r="G227" s="44">
        <v>0.24845854940000001</v>
      </c>
      <c r="H227" s="44">
        <v>0.72487902640000001</v>
      </c>
      <c r="I227" s="44">
        <v>1.7869834899999999</v>
      </c>
      <c r="J227" s="44">
        <v>1.703034401</v>
      </c>
      <c r="K227" s="44">
        <f t="shared" si="115"/>
        <v>1.4446120385538757</v>
      </c>
      <c r="L227" s="44"/>
      <c r="N227">
        <v>1</v>
      </c>
      <c r="O227">
        <v>1</v>
      </c>
      <c r="P227">
        <v>1</v>
      </c>
      <c r="Q227">
        <v>1.02</v>
      </c>
      <c r="R227">
        <v>1</v>
      </c>
      <c r="S227">
        <v>1.05</v>
      </c>
      <c r="T227">
        <v>1</v>
      </c>
      <c r="U227">
        <v>1</v>
      </c>
      <c r="W227" s="44">
        <f t="shared" si="131"/>
        <v>0.33782258630000001</v>
      </c>
      <c r="X227" s="44">
        <f t="shared" si="116"/>
        <v>2.6119241710000001</v>
      </c>
      <c r="Y227" s="44">
        <f t="shared" si="117"/>
        <v>2.1951332090000002</v>
      </c>
      <c r="Z227" s="44">
        <f t="shared" si="118"/>
        <v>1.5105434632799999</v>
      </c>
      <c r="AA227" s="44">
        <f t="shared" si="119"/>
        <v>0.24845854940000001</v>
      </c>
      <c r="AB227" s="44">
        <f t="shared" si="120"/>
        <v>0.76112297772000004</v>
      </c>
      <c r="AC227" s="44">
        <f t="shared" si="121"/>
        <v>1.7869834899999999</v>
      </c>
      <c r="AD227" s="44">
        <f t="shared" si="122"/>
        <v>1.703034401</v>
      </c>
      <c r="AF227" s="61" t="str">
        <f t="shared" si="132"/>
        <v>O54</v>
      </c>
      <c r="AG227" s="44">
        <f t="shared" si="133"/>
        <v>4.6277066616438357E-2</v>
      </c>
      <c r="AH227" s="44">
        <f t="shared" si="123"/>
        <v>0.35779783164383566</v>
      </c>
      <c r="AI227" s="44">
        <f t="shared" si="124"/>
        <v>0.30070317931506851</v>
      </c>
      <c r="AJ227" s="44">
        <f t="shared" si="125"/>
        <v>0.20692376209315066</v>
      </c>
      <c r="AK227" s="44">
        <f t="shared" si="126"/>
        <v>4.8813074538310415E-2</v>
      </c>
      <c r="AL227" s="44">
        <f t="shared" si="127"/>
        <v>0.14953300151669943</v>
      </c>
      <c r="AM227" s="44">
        <f t="shared" si="128"/>
        <v>0.44452325621890548</v>
      </c>
      <c r="AN227" s="44">
        <f t="shared" si="129"/>
        <v>0.42364039825870653</v>
      </c>
      <c r="AO227" s="44">
        <f t="shared" si="130"/>
        <v>0.23452421039463292</v>
      </c>
    </row>
    <row r="228" spans="1:41" ht="15.6" x14ac:dyDescent="0.25">
      <c r="A228" s="60"/>
      <c r="B228" s="62" t="s">
        <v>235</v>
      </c>
      <c r="C228" s="44">
        <v>0.21336369220000001</v>
      </c>
      <c r="D228" s="44">
        <v>0.79472154380000004</v>
      </c>
      <c r="E228" s="44">
        <v>0.77565693859999996</v>
      </c>
      <c r="F228" s="44">
        <v>0.8783764839</v>
      </c>
      <c r="G228" s="44">
        <v>0.57005083560000003</v>
      </c>
      <c r="H228" s="44">
        <v>0.41816139219999998</v>
      </c>
      <c r="I228" s="44">
        <v>1.1720243690000001</v>
      </c>
      <c r="J228" s="44">
        <v>1.3484503029999999</v>
      </c>
      <c r="K228" s="44">
        <f t="shared" si="115"/>
        <v>0.78437481337700143</v>
      </c>
      <c r="L228" s="58"/>
      <c r="N228">
        <v>1</v>
      </c>
      <c r="O228">
        <v>1</v>
      </c>
      <c r="P228">
        <v>1</v>
      </c>
      <c r="Q228">
        <v>1.02</v>
      </c>
      <c r="R228">
        <v>1</v>
      </c>
      <c r="S228">
        <v>1.05</v>
      </c>
      <c r="T228">
        <v>1</v>
      </c>
      <c r="U228">
        <v>1</v>
      </c>
      <c r="W228" s="44">
        <f t="shared" si="131"/>
        <v>0.21336369220000001</v>
      </c>
      <c r="X228" s="44">
        <f t="shared" si="116"/>
        <v>0.79472154380000004</v>
      </c>
      <c r="Y228" s="44">
        <f t="shared" si="117"/>
        <v>0.77565693859999996</v>
      </c>
      <c r="Z228" s="44">
        <f t="shared" si="118"/>
        <v>0.89594401357800002</v>
      </c>
      <c r="AA228" s="44">
        <f t="shared" si="119"/>
        <v>0.57005083560000003</v>
      </c>
      <c r="AB228" s="44">
        <f t="shared" si="120"/>
        <v>0.43906946181000001</v>
      </c>
      <c r="AC228" s="44">
        <f t="shared" si="121"/>
        <v>1.1720243690000001</v>
      </c>
      <c r="AD228" s="44">
        <f t="shared" si="122"/>
        <v>1.3484503029999999</v>
      </c>
      <c r="AF228" s="61" t="str">
        <f t="shared" si="132"/>
        <v>O55</v>
      </c>
      <c r="AG228" s="44">
        <f t="shared" si="133"/>
        <v>2.9227903041095894E-2</v>
      </c>
      <c r="AH228" s="44">
        <f t="shared" si="123"/>
        <v>0.1088659649041096</v>
      </c>
      <c r="AI228" s="44">
        <f t="shared" si="124"/>
        <v>0.10625437515068493</v>
      </c>
      <c r="AJ228" s="44">
        <f t="shared" si="125"/>
        <v>0.12273205665452055</v>
      </c>
      <c r="AK228" s="44">
        <f t="shared" si="126"/>
        <v>0.11199427025540276</v>
      </c>
      <c r="AL228" s="44">
        <f t="shared" si="127"/>
        <v>8.6261190925343817E-2</v>
      </c>
      <c r="AM228" s="44">
        <f t="shared" si="128"/>
        <v>0.29154835049751249</v>
      </c>
      <c r="AN228" s="44">
        <f t="shared" si="129"/>
        <v>0.33543539875621892</v>
      </c>
      <c r="AO228" s="44">
        <f t="shared" si="130"/>
        <v>0.13648911570703665</v>
      </c>
    </row>
    <row r="229" spans="1:41" ht="15.6" x14ac:dyDescent="0.25">
      <c r="A229" s="57"/>
      <c r="B229" s="62" t="s">
        <v>236</v>
      </c>
      <c r="C229" s="44">
        <v>0.45496132969999997</v>
      </c>
      <c r="D229" s="44">
        <v>0.28901344540000001</v>
      </c>
      <c r="E229" s="44">
        <v>0.17392486330000001</v>
      </c>
      <c r="F229" s="44">
        <v>0.21345773339999999</v>
      </c>
      <c r="G229" s="44">
        <v>1.1577550169999999</v>
      </c>
      <c r="H229" s="44">
        <v>1.0628125669999999</v>
      </c>
      <c r="I229" s="44">
        <v>0.70250904560000005</v>
      </c>
      <c r="J229" s="44">
        <v>0.78798753020000001</v>
      </c>
      <c r="K229" s="44">
        <f t="shared" si="115"/>
        <v>0.50442418282858958</v>
      </c>
      <c r="L229" s="44"/>
      <c r="N229">
        <v>1</v>
      </c>
      <c r="O229">
        <v>1</v>
      </c>
      <c r="P229">
        <v>1</v>
      </c>
      <c r="Q229">
        <v>1.02</v>
      </c>
      <c r="R229">
        <v>1</v>
      </c>
      <c r="S229">
        <v>1.05</v>
      </c>
      <c r="T229">
        <v>1</v>
      </c>
      <c r="U229">
        <v>1</v>
      </c>
      <c r="W229" s="44">
        <f t="shared" si="131"/>
        <v>0.45496132969999997</v>
      </c>
      <c r="X229" s="44">
        <f t="shared" si="116"/>
        <v>0.28901344540000001</v>
      </c>
      <c r="Y229" s="44">
        <f t="shared" si="117"/>
        <v>0.17392486330000001</v>
      </c>
      <c r="Z229" s="44">
        <f t="shared" si="118"/>
        <v>0.217726888068</v>
      </c>
      <c r="AA229" s="44">
        <f t="shared" si="119"/>
        <v>1.1577550169999999</v>
      </c>
      <c r="AB229" s="44">
        <f t="shared" si="120"/>
        <v>1.1159531953499999</v>
      </c>
      <c r="AC229" s="44">
        <f t="shared" si="121"/>
        <v>0.70250904560000005</v>
      </c>
      <c r="AD229" s="44">
        <f t="shared" si="122"/>
        <v>0.78798753020000001</v>
      </c>
      <c r="AF229" s="61" t="str">
        <f t="shared" si="132"/>
        <v>O56</v>
      </c>
      <c r="AG229" s="44">
        <f t="shared" si="133"/>
        <v>6.2323469821917804E-2</v>
      </c>
      <c r="AH229" s="44">
        <f t="shared" si="123"/>
        <v>3.9590882931506852E-2</v>
      </c>
      <c r="AI229" s="44">
        <f t="shared" si="124"/>
        <v>2.3825323739726029E-2</v>
      </c>
      <c r="AJ229" s="44">
        <f t="shared" si="125"/>
        <v>2.982560110520548E-2</v>
      </c>
      <c r="AK229" s="44">
        <f t="shared" si="126"/>
        <v>0.22745678133595285</v>
      </c>
      <c r="AL229" s="44">
        <f t="shared" si="127"/>
        <v>0.21924424270137524</v>
      </c>
      <c r="AM229" s="44">
        <f t="shared" si="128"/>
        <v>0.17475349393034828</v>
      </c>
      <c r="AN229" s="44">
        <f t="shared" si="129"/>
        <v>0.19601679855721396</v>
      </c>
      <c r="AO229" s="44">
        <f t="shared" si="130"/>
        <v>9.6727191441150273E-2</v>
      </c>
    </row>
    <row r="230" spans="1:41" ht="15.6" x14ac:dyDescent="0.25">
      <c r="A230" s="60"/>
      <c r="B230" s="62" t="s">
        <v>237</v>
      </c>
      <c r="C230" s="44">
        <v>0.38649755720000001</v>
      </c>
      <c r="D230" s="44">
        <v>0.74065768720000003</v>
      </c>
      <c r="E230" s="44">
        <v>0.16411487759999999</v>
      </c>
      <c r="F230" s="44">
        <v>1.4786764379999999</v>
      </c>
      <c r="G230" s="44">
        <v>1.212994337</v>
      </c>
      <c r="H230" s="44">
        <v>0.66951173539999997</v>
      </c>
      <c r="I230" s="44">
        <v>1.2361868620000001</v>
      </c>
      <c r="J230" s="44">
        <v>1.24346292</v>
      </c>
      <c r="K230" s="44">
        <f t="shared" si="115"/>
        <v>0.96020204286861499</v>
      </c>
      <c r="L230" s="58"/>
      <c r="N230">
        <v>1</v>
      </c>
      <c r="O230">
        <v>1</v>
      </c>
      <c r="P230">
        <v>1</v>
      </c>
      <c r="Q230">
        <v>1.02</v>
      </c>
      <c r="R230">
        <v>1</v>
      </c>
      <c r="S230">
        <v>1.05</v>
      </c>
      <c r="T230">
        <v>1</v>
      </c>
      <c r="U230">
        <v>1</v>
      </c>
      <c r="W230" s="44">
        <f t="shared" si="131"/>
        <v>0.38649755720000001</v>
      </c>
      <c r="X230" s="44">
        <f t="shared" si="116"/>
        <v>0.74065768720000003</v>
      </c>
      <c r="Y230" s="44">
        <f t="shared" si="117"/>
        <v>0.16411487759999999</v>
      </c>
      <c r="Z230" s="44">
        <f t="shared" si="118"/>
        <v>1.50824996676</v>
      </c>
      <c r="AA230" s="44">
        <f t="shared" si="119"/>
        <v>1.212994337</v>
      </c>
      <c r="AB230" s="44">
        <f t="shared" si="120"/>
        <v>0.70298732217000004</v>
      </c>
      <c r="AC230" s="44">
        <f t="shared" si="121"/>
        <v>1.2361868620000001</v>
      </c>
      <c r="AD230" s="44">
        <f t="shared" si="122"/>
        <v>1.24346292</v>
      </c>
      <c r="AF230" s="61" t="str">
        <f t="shared" si="132"/>
        <v>O57</v>
      </c>
      <c r="AG230" s="44">
        <f t="shared" si="133"/>
        <v>5.2944870849315068E-2</v>
      </c>
      <c r="AH230" s="44">
        <f t="shared" si="123"/>
        <v>0.10145995715068494</v>
      </c>
      <c r="AI230" s="44">
        <f t="shared" si="124"/>
        <v>2.2481490082191781E-2</v>
      </c>
      <c r="AJ230" s="44">
        <f t="shared" si="125"/>
        <v>0.20660958448767125</v>
      </c>
      <c r="AK230" s="44">
        <f t="shared" si="126"/>
        <v>0.2383093</v>
      </c>
      <c r="AL230" s="44">
        <f t="shared" si="127"/>
        <v>0.13811145818664047</v>
      </c>
      <c r="AM230" s="44">
        <f t="shared" si="128"/>
        <v>0.30750916965174135</v>
      </c>
      <c r="AN230" s="44">
        <f t="shared" si="129"/>
        <v>0.30931913432835823</v>
      </c>
      <c r="AO230" s="44">
        <f t="shared" si="130"/>
        <v>0.16729707244493799</v>
      </c>
    </row>
    <row r="231" spans="1:41" ht="15.6" x14ac:dyDescent="0.25">
      <c r="A231" s="57"/>
      <c r="B231" s="62" t="s">
        <v>238</v>
      </c>
      <c r="C231" s="44">
        <v>0.31060916189999999</v>
      </c>
      <c r="D231" s="44">
        <v>1.2617381809999999</v>
      </c>
      <c r="E231" s="44">
        <v>0.35535809400000001</v>
      </c>
      <c r="F231" s="44">
        <v>0.89869010449999998</v>
      </c>
      <c r="G231" s="44">
        <v>1.3123503919999999</v>
      </c>
      <c r="H231" s="44">
        <v>0.80617368219999996</v>
      </c>
      <c r="I231" s="44">
        <v>1.41769743</v>
      </c>
      <c r="J231" s="44">
        <v>1.4023238419999999</v>
      </c>
      <c r="K231" s="44">
        <f t="shared" si="115"/>
        <v>0.92227079200889484</v>
      </c>
      <c r="L231" s="44"/>
      <c r="N231">
        <v>1</v>
      </c>
      <c r="O231">
        <v>1</v>
      </c>
      <c r="P231">
        <v>1</v>
      </c>
      <c r="Q231">
        <v>1.02</v>
      </c>
      <c r="R231">
        <v>1</v>
      </c>
      <c r="S231">
        <v>1.05</v>
      </c>
      <c r="T231">
        <v>1</v>
      </c>
      <c r="U231">
        <v>1</v>
      </c>
      <c r="W231" s="44">
        <f t="shared" si="131"/>
        <v>0.31060916189999999</v>
      </c>
      <c r="X231" s="44">
        <f t="shared" si="116"/>
        <v>1.2617381809999999</v>
      </c>
      <c r="Y231" s="44">
        <f t="shared" si="117"/>
        <v>0.35535809400000001</v>
      </c>
      <c r="Z231" s="44">
        <f t="shared" si="118"/>
        <v>0.91666390658999997</v>
      </c>
      <c r="AA231" s="44">
        <f t="shared" si="119"/>
        <v>1.3123503919999999</v>
      </c>
      <c r="AB231" s="44">
        <f t="shared" si="120"/>
        <v>0.84648236630999996</v>
      </c>
      <c r="AC231" s="44">
        <f t="shared" si="121"/>
        <v>1.41769743</v>
      </c>
      <c r="AD231" s="44">
        <f t="shared" si="122"/>
        <v>1.4023238419999999</v>
      </c>
      <c r="AF231" s="61" t="str">
        <f t="shared" si="132"/>
        <v>O58</v>
      </c>
      <c r="AG231" s="44">
        <f t="shared" si="133"/>
        <v>4.2549200260273971E-2</v>
      </c>
      <c r="AH231" s="44">
        <f t="shared" si="123"/>
        <v>0.17284084671232877</v>
      </c>
      <c r="AI231" s="44">
        <f t="shared" si="124"/>
        <v>4.8679190958904113E-2</v>
      </c>
      <c r="AJ231" s="44">
        <f t="shared" si="125"/>
        <v>0.12557039816301369</v>
      </c>
      <c r="AK231" s="44">
        <f t="shared" si="126"/>
        <v>0.25782915363457759</v>
      </c>
      <c r="AL231" s="44">
        <f t="shared" si="127"/>
        <v>0.16630301892141452</v>
      </c>
      <c r="AM231" s="44">
        <f t="shared" si="128"/>
        <v>0.35266105223880601</v>
      </c>
      <c r="AN231" s="44">
        <f t="shared" si="129"/>
        <v>0.34883677661691542</v>
      </c>
      <c r="AO231" s="44">
        <f t="shared" si="130"/>
        <v>0.16604737357359015</v>
      </c>
    </row>
    <row r="232" spans="1:41" ht="15.6" x14ac:dyDescent="0.25">
      <c r="A232" s="60"/>
      <c r="B232" s="62" t="s">
        <v>239</v>
      </c>
      <c r="C232" s="44">
        <v>0.49421414730000002</v>
      </c>
      <c r="D232" s="44">
        <v>1.621011019</v>
      </c>
      <c r="E232" s="44">
        <v>1.3634495740000001</v>
      </c>
      <c r="F232" s="44">
        <v>1.385624051</v>
      </c>
      <c r="G232" s="44">
        <v>1.221606255</v>
      </c>
      <c r="H232" s="44">
        <v>0.91034376620000002</v>
      </c>
      <c r="I232" s="44">
        <v>1.885181665</v>
      </c>
      <c r="J232" s="44">
        <v>1.830224633</v>
      </c>
      <c r="K232" s="44">
        <f t="shared" si="115"/>
        <v>1.3528631292946636</v>
      </c>
      <c r="L232" s="58"/>
      <c r="N232">
        <v>1</v>
      </c>
      <c r="O232">
        <v>1</v>
      </c>
      <c r="P232">
        <v>1</v>
      </c>
      <c r="Q232">
        <v>1.02</v>
      </c>
      <c r="R232">
        <v>1</v>
      </c>
      <c r="S232">
        <v>1.05</v>
      </c>
      <c r="T232">
        <v>1</v>
      </c>
      <c r="U232">
        <v>1</v>
      </c>
      <c r="W232" s="44">
        <f t="shared" si="131"/>
        <v>0.49421414730000002</v>
      </c>
      <c r="X232" s="44">
        <f t="shared" si="116"/>
        <v>1.621011019</v>
      </c>
      <c r="Y232" s="44">
        <f t="shared" si="117"/>
        <v>1.3634495740000001</v>
      </c>
      <c r="Z232" s="44">
        <f t="shared" si="118"/>
        <v>1.41333653202</v>
      </c>
      <c r="AA232" s="44">
        <f t="shared" si="119"/>
        <v>1.221606255</v>
      </c>
      <c r="AB232" s="44">
        <f t="shared" si="120"/>
        <v>0.95586095451000008</v>
      </c>
      <c r="AC232" s="44">
        <f t="shared" si="121"/>
        <v>1.885181665</v>
      </c>
      <c r="AD232" s="44">
        <f t="shared" si="122"/>
        <v>1.830224633</v>
      </c>
      <c r="AF232" s="61" t="str">
        <f t="shared" si="132"/>
        <v>O59</v>
      </c>
      <c r="AG232" s="44">
        <f t="shared" si="133"/>
        <v>6.7700568123287674E-2</v>
      </c>
      <c r="AH232" s="44">
        <f t="shared" si="123"/>
        <v>0.22205630397260273</v>
      </c>
      <c r="AI232" s="44">
        <f t="shared" si="124"/>
        <v>0.18677391424657536</v>
      </c>
      <c r="AJ232" s="44">
        <f t="shared" si="125"/>
        <v>0.19360774411232876</v>
      </c>
      <c r="AK232" s="44">
        <f t="shared" si="126"/>
        <v>0.24000122888015718</v>
      </c>
      <c r="AL232" s="44">
        <f t="shared" si="127"/>
        <v>0.1877919360530452</v>
      </c>
      <c r="AM232" s="44">
        <f t="shared" si="128"/>
        <v>0.46895066293532345</v>
      </c>
      <c r="AN232" s="44">
        <f t="shared" si="129"/>
        <v>0.45527975945273635</v>
      </c>
      <c r="AO232" s="44">
        <f t="shared" si="130"/>
        <v>0.23284073710729761</v>
      </c>
    </row>
    <row r="233" spans="1:41" ht="15.6" x14ac:dyDescent="0.25">
      <c r="A233" s="57"/>
      <c r="B233" s="62" t="s">
        <v>240</v>
      </c>
      <c r="C233" s="44">
        <v>0.48751199249999999</v>
      </c>
      <c r="D233" s="44">
        <v>0.81272637839999995</v>
      </c>
      <c r="E233" s="44">
        <v>0.13379077610000001</v>
      </c>
      <c r="F233" s="44">
        <v>0.85639250280000001</v>
      </c>
      <c r="G233" s="44">
        <v>1.2611939910000001</v>
      </c>
      <c r="H233" s="44">
        <v>0.99769032000000002</v>
      </c>
      <c r="I233" s="44">
        <v>3.2007299359999998E-2</v>
      </c>
      <c r="J233" s="44">
        <v>0.1502891928</v>
      </c>
      <c r="K233" s="44">
        <f t="shared" si="115"/>
        <v>0.64376886020510804</v>
      </c>
      <c r="L233" s="44"/>
      <c r="N233">
        <v>1</v>
      </c>
      <c r="O233">
        <v>1</v>
      </c>
      <c r="P233">
        <v>1</v>
      </c>
      <c r="Q233">
        <v>1.02</v>
      </c>
      <c r="R233">
        <v>1</v>
      </c>
      <c r="S233">
        <v>1.05</v>
      </c>
      <c r="T233">
        <v>1</v>
      </c>
      <c r="U233">
        <v>1</v>
      </c>
      <c r="W233" s="44">
        <f t="shared" si="131"/>
        <v>0.48751199249999999</v>
      </c>
      <c r="X233" s="44">
        <f t="shared" si="116"/>
        <v>0.81272637839999995</v>
      </c>
      <c r="Y233" s="44">
        <f t="shared" si="117"/>
        <v>0.13379077610000001</v>
      </c>
      <c r="Z233" s="44">
        <f t="shared" si="118"/>
        <v>0.87352035285600005</v>
      </c>
      <c r="AA233" s="44">
        <f t="shared" si="119"/>
        <v>1.2611939910000001</v>
      </c>
      <c r="AB233" s="44">
        <f t="shared" si="120"/>
        <v>1.0475748360000001</v>
      </c>
      <c r="AC233" s="44">
        <f t="shared" si="121"/>
        <v>3.2007299359999998E-2</v>
      </c>
      <c r="AD233" s="44">
        <f t="shared" si="122"/>
        <v>0.1502891928</v>
      </c>
      <c r="AF233" s="61" t="str">
        <f t="shared" si="132"/>
        <v>O60</v>
      </c>
      <c r="AG233" s="44">
        <f t="shared" si="133"/>
        <v>6.6782464726027405E-2</v>
      </c>
      <c r="AH233" s="44">
        <f t="shared" si="123"/>
        <v>0.11133238060273973</v>
      </c>
      <c r="AI233" s="44">
        <f t="shared" si="124"/>
        <v>1.8327503575342467E-2</v>
      </c>
      <c r="AJ233" s="44">
        <f t="shared" si="125"/>
        <v>0.11966032230904111</v>
      </c>
      <c r="AK233" s="44">
        <f t="shared" si="126"/>
        <v>0.24777878015717095</v>
      </c>
      <c r="AL233" s="44">
        <f t="shared" si="127"/>
        <v>0.20581038035363461</v>
      </c>
      <c r="AM233" s="44">
        <f t="shared" si="128"/>
        <v>7.9620147661691541E-3</v>
      </c>
      <c r="AN233" s="44">
        <f t="shared" si="129"/>
        <v>3.7385371343283583E-2</v>
      </c>
      <c r="AO233" s="44">
        <f t="shared" si="130"/>
        <v>0.10563556655034677</v>
      </c>
    </row>
    <row r="234" spans="1:41" ht="15.6" x14ac:dyDescent="0.25">
      <c r="A234" s="60"/>
      <c r="B234" s="62" t="s">
        <v>241</v>
      </c>
      <c r="C234" s="44">
        <v>0.86470663550000004</v>
      </c>
      <c r="D234" s="44">
        <v>1.6647393699999999</v>
      </c>
      <c r="E234" s="44">
        <v>1.339364529</v>
      </c>
      <c r="F234" s="44">
        <v>1.3443599939999999</v>
      </c>
      <c r="G234" s="44">
        <v>0.1910565645</v>
      </c>
      <c r="H234" s="44">
        <v>0.43933802840000002</v>
      </c>
      <c r="I234" s="44">
        <v>2.0565664770000001</v>
      </c>
      <c r="J234" s="44">
        <v>2.0374550820000001</v>
      </c>
      <c r="K234" s="44">
        <f t="shared" si="115"/>
        <v>1.221688049774079</v>
      </c>
      <c r="L234" s="58"/>
      <c r="N234">
        <v>1</v>
      </c>
      <c r="O234">
        <v>1</v>
      </c>
      <c r="P234">
        <v>1</v>
      </c>
      <c r="Q234">
        <v>1.02</v>
      </c>
      <c r="R234">
        <v>1</v>
      </c>
      <c r="S234">
        <v>1.05</v>
      </c>
      <c r="T234">
        <v>1</v>
      </c>
      <c r="U234">
        <v>1</v>
      </c>
      <c r="W234" s="44">
        <f t="shared" si="131"/>
        <v>0.86470663550000004</v>
      </c>
      <c r="X234" s="44">
        <f t="shared" si="116"/>
        <v>1.6647393699999999</v>
      </c>
      <c r="Y234" s="44">
        <f t="shared" si="117"/>
        <v>1.339364529</v>
      </c>
      <c r="Z234" s="44">
        <f t="shared" si="118"/>
        <v>1.3712471938799999</v>
      </c>
      <c r="AA234" s="44">
        <f t="shared" si="119"/>
        <v>0.1910565645</v>
      </c>
      <c r="AB234" s="44">
        <f t="shared" si="120"/>
        <v>0.46130492982000004</v>
      </c>
      <c r="AC234" s="44">
        <f t="shared" si="121"/>
        <v>2.0565664770000001</v>
      </c>
      <c r="AD234" s="44">
        <f t="shared" si="122"/>
        <v>2.0374550820000001</v>
      </c>
      <c r="AF234" s="61" t="str">
        <f t="shared" si="132"/>
        <v>O61</v>
      </c>
      <c r="AG234" s="44">
        <f t="shared" si="133"/>
        <v>0.11845296376712329</v>
      </c>
      <c r="AH234" s="44">
        <f t="shared" si="123"/>
        <v>0.2280464890410959</v>
      </c>
      <c r="AI234" s="44">
        <f t="shared" si="124"/>
        <v>0.18347459301369864</v>
      </c>
      <c r="AJ234" s="44">
        <f t="shared" si="125"/>
        <v>0.18784208135342464</v>
      </c>
      <c r="AK234" s="44">
        <f t="shared" si="126"/>
        <v>3.7535670825147346E-2</v>
      </c>
      <c r="AL234" s="44">
        <f t="shared" si="127"/>
        <v>9.0629652223968571E-2</v>
      </c>
      <c r="AM234" s="44">
        <f t="shared" si="128"/>
        <v>0.51158370074626869</v>
      </c>
      <c r="AN234" s="44">
        <f t="shared" si="129"/>
        <v>0.50682962238805984</v>
      </c>
      <c r="AO234" s="44">
        <f t="shared" si="130"/>
        <v>0.20724147837354773</v>
      </c>
    </row>
    <row r="235" spans="1:41" ht="15.6" x14ac:dyDescent="0.25">
      <c r="A235" s="57"/>
      <c r="B235" s="62" t="s">
        <v>242</v>
      </c>
      <c r="C235" s="44">
        <v>1.1970653529999999</v>
      </c>
      <c r="D235" s="44">
        <v>0.2212979347</v>
      </c>
      <c r="E235" s="44">
        <v>0.1763768047</v>
      </c>
      <c r="F235" s="44">
        <v>1.9015944</v>
      </c>
      <c r="G235" s="44">
        <v>0.72971951960000003</v>
      </c>
      <c r="H235" s="44">
        <v>0.49225854870000002</v>
      </c>
      <c r="I235" s="44">
        <v>1.949855447</v>
      </c>
      <c r="J235" s="44">
        <v>1.8957436080000001</v>
      </c>
      <c r="K235" s="44">
        <f t="shared" si="115"/>
        <v>1.1209906004712835</v>
      </c>
      <c r="L235" s="44"/>
      <c r="N235">
        <v>1</v>
      </c>
      <c r="O235">
        <v>1</v>
      </c>
      <c r="P235">
        <v>1</v>
      </c>
      <c r="Q235">
        <v>1.02</v>
      </c>
      <c r="R235">
        <v>1</v>
      </c>
      <c r="S235">
        <v>1.05</v>
      </c>
      <c r="T235">
        <v>1</v>
      </c>
      <c r="U235">
        <v>1</v>
      </c>
      <c r="W235" s="44">
        <f t="shared" si="131"/>
        <v>1.1970653529999999</v>
      </c>
      <c r="X235" s="44">
        <f t="shared" si="116"/>
        <v>0.2212979347</v>
      </c>
      <c r="Y235" s="44">
        <f t="shared" si="117"/>
        <v>0.1763768047</v>
      </c>
      <c r="Z235" s="44">
        <f t="shared" si="118"/>
        <v>1.9396262880000001</v>
      </c>
      <c r="AA235" s="44">
        <f t="shared" si="119"/>
        <v>0.72971951960000003</v>
      </c>
      <c r="AB235" s="44">
        <f t="shared" si="120"/>
        <v>0.51687147613500006</v>
      </c>
      <c r="AC235" s="44">
        <f t="shared" si="121"/>
        <v>1.949855447</v>
      </c>
      <c r="AD235" s="44">
        <f t="shared" si="122"/>
        <v>1.8957436080000001</v>
      </c>
      <c r="AF235" s="61" t="str">
        <f t="shared" si="132"/>
        <v>O62</v>
      </c>
      <c r="AG235" s="44">
        <f t="shared" si="133"/>
        <v>0.16398155520547944</v>
      </c>
      <c r="AH235" s="44">
        <f t="shared" si="123"/>
        <v>3.0314785575342468E-2</v>
      </c>
      <c r="AI235" s="44">
        <f t="shared" si="124"/>
        <v>2.4161206123287673E-2</v>
      </c>
      <c r="AJ235" s="44">
        <f t="shared" si="125"/>
        <v>0.26570223123287673</v>
      </c>
      <c r="AK235" s="44">
        <f t="shared" si="126"/>
        <v>0.14336336337917485</v>
      </c>
      <c r="AL235" s="44">
        <f t="shared" si="127"/>
        <v>0.10154645896561888</v>
      </c>
      <c r="AM235" s="44">
        <f t="shared" si="128"/>
        <v>0.48503866840796028</v>
      </c>
      <c r="AN235" s="44">
        <f t="shared" si="129"/>
        <v>0.47157801194029858</v>
      </c>
      <c r="AO235" s="44">
        <f t="shared" si="130"/>
        <v>0.19652244633031155</v>
      </c>
    </row>
    <row r="236" spans="1:41" ht="15.6" x14ac:dyDescent="0.25">
      <c r="A236" s="60"/>
      <c r="B236" s="62" t="s">
        <v>243</v>
      </c>
      <c r="C236" s="44">
        <v>2.0823001859999999</v>
      </c>
      <c r="D236" s="44">
        <v>1.3421345950000001</v>
      </c>
      <c r="E236" s="44">
        <v>1.114693642</v>
      </c>
      <c r="F236" s="44">
        <v>1.516592503</v>
      </c>
      <c r="G236" s="44">
        <v>0.91570717099999999</v>
      </c>
      <c r="H236" s="44">
        <v>1.1494203810000001</v>
      </c>
      <c r="I236" s="44">
        <v>1.6418678760000001</v>
      </c>
      <c r="J236" s="44">
        <v>1.57218349</v>
      </c>
      <c r="K236" s="44">
        <f t="shared" si="115"/>
        <v>1.3766586709237612</v>
      </c>
      <c r="L236" s="58"/>
      <c r="N236">
        <v>1</v>
      </c>
      <c r="O236">
        <v>1</v>
      </c>
      <c r="P236">
        <v>1</v>
      </c>
      <c r="Q236">
        <v>1.02</v>
      </c>
      <c r="R236">
        <v>1</v>
      </c>
      <c r="S236">
        <v>1.05</v>
      </c>
      <c r="T236">
        <v>1</v>
      </c>
      <c r="U236">
        <v>1</v>
      </c>
      <c r="W236" s="44">
        <f t="shared" si="131"/>
        <v>2.0823001859999999</v>
      </c>
      <c r="X236" s="44">
        <f t="shared" si="116"/>
        <v>1.3421345950000001</v>
      </c>
      <c r="Y236" s="44">
        <f t="shared" si="117"/>
        <v>1.114693642</v>
      </c>
      <c r="Z236" s="44">
        <f t="shared" si="118"/>
        <v>1.5469243530600001</v>
      </c>
      <c r="AA236" s="44">
        <f t="shared" si="119"/>
        <v>0.91570717099999999</v>
      </c>
      <c r="AB236" s="44">
        <f t="shared" si="120"/>
        <v>1.2068914000500002</v>
      </c>
      <c r="AC236" s="44">
        <f t="shared" si="121"/>
        <v>1.6418678760000001</v>
      </c>
      <c r="AD236" s="44">
        <f t="shared" si="122"/>
        <v>1.57218349</v>
      </c>
      <c r="AF236" s="61" t="str">
        <f t="shared" si="132"/>
        <v>O63</v>
      </c>
      <c r="AG236" s="44">
        <f t="shared" si="133"/>
        <v>0.28524660082191777</v>
      </c>
      <c r="AH236" s="44">
        <f t="shared" si="123"/>
        <v>0.18385405410958905</v>
      </c>
      <c r="AI236" s="44">
        <f t="shared" si="124"/>
        <v>0.1526977591780822</v>
      </c>
      <c r="AJ236" s="44">
        <f t="shared" si="125"/>
        <v>0.21190744562465755</v>
      </c>
      <c r="AK236" s="44">
        <f t="shared" si="126"/>
        <v>0.17990317701375247</v>
      </c>
      <c r="AL236" s="44">
        <f t="shared" si="127"/>
        <v>0.23711029470530456</v>
      </c>
      <c r="AM236" s="44">
        <f t="shared" si="128"/>
        <v>0.40842484477611946</v>
      </c>
      <c r="AN236" s="44">
        <f t="shared" si="129"/>
        <v>0.39109042039801001</v>
      </c>
      <c r="AO236" s="44">
        <f t="shared" si="130"/>
        <v>0.2304480124021028</v>
      </c>
    </row>
    <row r="237" spans="1:41" ht="15.6" x14ac:dyDescent="0.25">
      <c r="A237" s="57"/>
      <c r="B237" s="62" t="s">
        <v>244</v>
      </c>
      <c r="C237" s="44">
        <v>1.68760252</v>
      </c>
      <c r="D237" s="44">
        <v>2.2782619</v>
      </c>
      <c r="E237" s="44">
        <v>2.1626517770000002</v>
      </c>
      <c r="F237" s="44">
        <v>1.553691626</v>
      </c>
      <c r="G237" s="44">
        <v>1.594309449</v>
      </c>
      <c r="H237" s="44">
        <v>0.63496804240000004</v>
      </c>
      <c r="I237" s="44">
        <v>1.768665433</v>
      </c>
      <c r="J237" s="44">
        <v>1.7382251019999999</v>
      </c>
      <c r="K237" s="44">
        <f t="shared" si="115"/>
        <v>1.7169983681069885</v>
      </c>
      <c r="N237">
        <v>1</v>
      </c>
      <c r="O237">
        <v>1</v>
      </c>
      <c r="P237">
        <v>1</v>
      </c>
      <c r="Q237">
        <v>1.02</v>
      </c>
      <c r="R237">
        <v>1</v>
      </c>
      <c r="S237">
        <v>1.05</v>
      </c>
      <c r="T237">
        <v>1</v>
      </c>
      <c r="U237">
        <v>1</v>
      </c>
      <c r="W237" s="44">
        <f t="shared" si="131"/>
        <v>1.68760252</v>
      </c>
      <c r="X237" s="44">
        <f t="shared" si="116"/>
        <v>2.2782619</v>
      </c>
      <c r="Y237" s="44">
        <f t="shared" si="117"/>
        <v>2.1626517770000002</v>
      </c>
      <c r="Z237" s="44">
        <f t="shared" si="118"/>
        <v>1.5847654585199999</v>
      </c>
      <c r="AA237" s="44">
        <f t="shared" si="119"/>
        <v>1.594309449</v>
      </c>
      <c r="AB237" s="44">
        <f t="shared" si="120"/>
        <v>0.66671644452000012</v>
      </c>
      <c r="AC237" s="44">
        <f t="shared" si="121"/>
        <v>1.768665433</v>
      </c>
      <c r="AD237" s="44">
        <f t="shared" si="122"/>
        <v>1.7382251019999999</v>
      </c>
      <c r="AF237" s="61" t="str">
        <f t="shared" si="132"/>
        <v>O64</v>
      </c>
      <c r="AG237" s="44">
        <f t="shared" si="133"/>
        <v>0.23117842739726027</v>
      </c>
      <c r="AH237" s="44">
        <f t="shared" si="123"/>
        <v>0.3120906712328767</v>
      </c>
      <c r="AI237" s="44">
        <f t="shared" si="124"/>
        <v>0.29625366808219183</v>
      </c>
      <c r="AJ237" s="44">
        <f t="shared" si="125"/>
        <v>0.21709115870136986</v>
      </c>
      <c r="AK237" s="44">
        <f t="shared" si="126"/>
        <v>0.31322386031434185</v>
      </c>
      <c r="AL237" s="44">
        <f t="shared" si="127"/>
        <v>0.13098554902161103</v>
      </c>
      <c r="AM237" s="44">
        <f t="shared" si="128"/>
        <v>0.43996652562189059</v>
      </c>
      <c r="AN237" s="44">
        <f t="shared" si="129"/>
        <v>0.43239430398009954</v>
      </c>
      <c r="AO237" s="44">
        <f t="shared" si="130"/>
        <v>0.28289843766285516</v>
      </c>
    </row>
    <row r="238" spans="1:41" ht="15.6" x14ac:dyDescent="0.25">
      <c r="A238" s="57"/>
      <c r="B238" s="61" t="s">
        <v>245</v>
      </c>
      <c r="C238" s="67">
        <v>2.4613924030000001</v>
      </c>
      <c r="D238" s="67">
        <v>0.26558271049999999</v>
      </c>
      <c r="E238" s="67">
        <v>1.294048071</v>
      </c>
      <c r="F238" s="67">
        <v>1.0184925789999999</v>
      </c>
      <c r="G238" s="67">
        <v>1.652412057</v>
      </c>
      <c r="H238" s="67">
        <v>1.2157300710000001</v>
      </c>
      <c r="I238" s="67">
        <v>1.531900287</v>
      </c>
      <c r="J238" s="67">
        <v>1.482125878</v>
      </c>
      <c r="K238" s="44">
        <f t="shared" si="115"/>
        <v>1.2845380679567981</v>
      </c>
      <c r="L238" s="44"/>
      <c r="N238">
        <v>1</v>
      </c>
      <c r="O238">
        <v>1</v>
      </c>
      <c r="P238">
        <v>1</v>
      </c>
      <c r="Q238">
        <v>1.02</v>
      </c>
      <c r="R238">
        <v>1</v>
      </c>
      <c r="S238">
        <v>1.05</v>
      </c>
      <c r="T238">
        <v>1</v>
      </c>
      <c r="U238">
        <v>1</v>
      </c>
      <c r="W238" s="44">
        <f t="shared" ref="W238:W244" si="134">C238*N238</f>
        <v>2.4613924030000001</v>
      </c>
      <c r="X238" s="44">
        <f t="shared" ref="X238:X244" si="135">D238*O238</f>
        <v>0.26558271049999999</v>
      </c>
      <c r="Y238" s="44">
        <f t="shared" ref="Y238:Y244" si="136">E238*P238</f>
        <v>1.294048071</v>
      </c>
      <c r="Z238" s="44">
        <f t="shared" ref="Z238:Z244" si="137">F238*Q238</f>
        <v>1.0388624305799998</v>
      </c>
      <c r="AA238" s="44">
        <f t="shared" ref="AA238:AA244" si="138">G238*R238</f>
        <v>1.652412057</v>
      </c>
      <c r="AB238" s="44">
        <f t="shared" ref="AB238:AB244" si="139">H238*S238</f>
        <v>1.2765165745500002</v>
      </c>
      <c r="AC238" s="44">
        <f t="shared" ref="AC238:AC244" si="140">I238*T238</f>
        <v>1.531900287</v>
      </c>
      <c r="AD238" s="44">
        <f t="shared" ref="AD238:AD244" si="141">J238*U238</f>
        <v>1.482125878</v>
      </c>
      <c r="AF238" s="61" t="str">
        <f t="shared" ref="AF238:AF245" si="142">B238</f>
        <v>O65</v>
      </c>
      <c r="AG238" s="44">
        <f t="shared" ref="AG238:AG245" si="143">W238/W$8</f>
        <v>0.33717704150684935</v>
      </c>
      <c r="AH238" s="44">
        <f t="shared" ref="AH238:AH245" si="144">X238/X$8</f>
        <v>3.6381193219178078E-2</v>
      </c>
      <c r="AI238" s="44">
        <f t="shared" ref="AI238:AI245" si="145">Y238/Y$8</f>
        <v>0.1772668590410959</v>
      </c>
      <c r="AJ238" s="44">
        <f t="shared" ref="AJ238:AJ245" si="146">Z238/Z$8</f>
        <v>0.14230992199726025</v>
      </c>
      <c r="AK238" s="44">
        <f t="shared" ref="AK238:AK245" si="147">AA238/AA$8</f>
        <v>0.32463891100196468</v>
      </c>
      <c r="AL238" s="44">
        <f t="shared" ref="AL238:AL245" si="148">AB238/AB$8</f>
        <v>0.25078911091355605</v>
      </c>
      <c r="AM238" s="44">
        <f t="shared" ref="AM238:AM245" si="149">AC238/AC$8</f>
        <v>0.38106972313432841</v>
      </c>
      <c r="AN238" s="44">
        <f t="shared" ref="AN238:AN245" si="150">AD238/AD$8</f>
        <v>0.36868802935323386</v>
      </c>
      <c r="AO238" s="44">
        <f t="shared" ref="AO238:AO245" si="151">SUMPRODUCT(AG238:AN238,$C$7:$J$7)/$K$7</f>
        <v>0.222205236972704</v>
      </c>
    </row>
    <row r="239" spans="1:41" ht="15.6" x14ac:dyDescent="0.25">
      <c r="A239" s="60"/>
      <c r="B239" s="62" t="s">
        <v>246</v>
      </c>
      <c r="C239" s="67">
        <v>1.2511967420000001</v>
      </c>
      <c r="D239" s="67">
        <v>0.1615825742</v>
      </c>
      <c r="E239" s="67">
        <v>0.43279904130000002</v>
      </c>
      <c r="F239" s="67">
        <v>0.69295561309999998</v>
      </c>
      <c r="G239" s="67">
        <v>1.587766051</v>
      </c>
      <c r="H239" s="67">
        <v>1.3702636960000001</v>
      </c>
      <c r="I239" s="67">
        <v>1.5960177179999999</v>
      </c>
      <c r="J239" s="67">
        <v>1.4759323600000001</v>
      </c>
      <c r="K239" s="44">
        <f t="shared" ref="K239:K262" si="152">SUMPRODUCT(C239:J239,$C$7:$J$7)/$K$7</f>
        <v>0.94029132266289717</v>
      </c>
      <c r="L239" s="58"/>
      <c r="N239">
        <v>1</v>
      </c>
      <c r="O239">
        <v>1</v>
      </c>
      <c r="P239">
        <v>1</v>
      </c>
      <c r="Q239">
        <v>1.02</v>
      </c>
      <c r="R239">
        <v>1</v>
      </c>
      <c r="S239">
        <v>1.05</v>
      </c>
      <c r="T239">
        <v>1</v>
      </c>
      <c r="U239">
        <v>1</v>
      </c>
      <c r="W239" s="44">
        <f t="shared" si="134"/>
        <v>1.2511967420000001</v>
      </c>
      <c r="X239" s="44">
        <f t="shared" si="135"/>
        <v>0.1615825742</v>
      </c>
      <c r="Y239" s="44">
        <f t="shared" si="136"/>
        <v>0.43279904130000002</v>
      </c>
      <c r="Z239" s="44">
        <f t="shared" si="137"/>
        <v>0.70681472536199996</v>
      </c>
      <c r="AA239" s="44">
        <f t="shared" si="138"/>
        <v>1.587766051</v>
      </c>
      <c r="AB239" s="44">
        <f t="shared" si="139"/>
        <v>1.4387768808000001</v>
      </c>
      <c r="AC239" s="44">
        <f t="shared" si="140"/>
        <v>1.5960177179999999</v>
      </c>
      <c r="AD239" s="44">
        <f t="shared" si="141"/>
        <v>1.4759323600000001</v>
      </c>
      <c r="AF239" s="61" t="str">
        <f t="shared" si="142"/>
        <v>O66</v>
      </c>
      <c r="AG239" s="44">
        <f t="shared" si="143"/>
        <v>0.17139681397260276</v>
      </c>
      <c r="AH239" s="44">
        <f t="shared" si="144"/>
        <v>2.2134599205479451E-2</v>
      </c>
      <c r="AI239" s="44">
        <f t="shared" si="145"/>
        <v>5.9287539904109593E-2</v>
      </c>
      <c r="AJ239" s="44">
        <f t="shared" si="146"/>
        <v>9.6823934981095885E-2</v>
      </c>
      <c r="AK239" s="44">
        <f t="shared" si="147"/>
        <v>0.31193832043222003</v>
      </c>
      <c r="AL239" s="44">
        <f t="shared" si="148"/>
        <v>0.28266736361493128</v>
      </c>
      <c r="AM239" s="44">
        <f t="shared" si="149"/>
        <v>0.39701933283582092</v>
      </c>
      <c r="AN239" s="44">
        <f t="shared" si="150"/>
        <v>0.36714735323383091</v>
      </c>
      <c r="AO239" s="44">
        <f t="shared" si="151"/>
        <v>0.17548474264987526</v>
      </c>
    </row>
    <row r="240" spans="1:41" ht="15.6" x14ac:dyDescent="0.25">
      <c r="A240" s="57"/>
      <c r="B240" t="s">
        <v>247</v>
      </c>
      <c r="C240" s="67">
        <v>2.894496679</v>
      </c>
      <c r="D240" s="67">
        <v>2.9264214040000001</v>
      </c>
      <c r="E240" s="67">
        <v>2.8935663699999998</v>
      </c>
      <c r="F240" s="67">
        <v>1.036945105</v>
      </c>
      <c r="G240" s="67">
        <v>0.2210513949</v>
      </c>
      <c r="H240" s="67">
        <v>0.1425766051</v>
      </c>
      <c r="I240" s="67">
        <v>1.594710946</v>
      </c>
      <c r="J240" s="67">
        <v>1.58166337</v>
      </c>
      <c r="K240" s="44">
        <f t="shared" si="152"/>
        <v>1.603135637781703</v>
      </c>
      <c r="L240" s="58"/>
      <c r="N240">
        <v>1</v>
      </c>
      <c r="O240">
        <v>1</v>
      </c>
      <c r="P240">
        <v>1</v>
      </c>
      <c r="Q240">
        <v>1.02</v>
      </c>
      <c r="R240">
        <v>1</v>
      </c>
      <c r="S240">
        <v>1.05</v>
      </c>
      <c r="T240">
        <v>1</v>
      </c>
      <c r="U240">
        <v>1</v>
      </c>
      <c r="W240" s="44">
        <f t="shared" si="134"/>
        <v>2.894496679</v>
      </c>
      <c r="X240" s="44">
        <f t="shared" si="135"/>
        <v>2.9264214040000001</v>
      </c>
      <c r="Y240" s="44">
        <f t="shared" si="136"/>
        <v>2.8935663699999998</v>
      </c>
      <c r="Z240" s="44">
        <f t="shared" si="137"/>
        <v>1.0576840071</v>
      </c>
      <c r="AA240" s="44">
        <f t="shared" si="138"/>
        <v>0.2210513949</v>
      </c>
      <c r="AB240" s="44">
        <f t="shared" si="139"/>
        <v>0.149705435355</v>
      </c>
      <c r="AC240" s="44">
        <f t="shared" si="140"/>
        <v>1.594710946</v>
      </c>
      <c r="AD240" s="44">
        <f t="shared" si="141"/>
        <v>1.58166337</v>
      </c>
      <c r="AF240" s="61" t="str">
        <f t="shared" si="142"/>
        <v>O67</v>
      </c>
      <c r="AG240" s="44">
        <f t="shared" si="143"/>
        <v>0.39650639438356167</v>
      </c>
      <c r="AH240" s="44">
        <f t="shared" si="144"/>
        <v>0.40087964438356166</v>
      </c>
      <c r="AI240" s="44">
        <f t="shared" si="145"/>
        <v>0.39637895479452051</v>
      </c>
      <c r="AJ240" s="44">
        <f t="shared" si="146"/>
        <v>0.14488822015068492</v>
      </c>
      <c r="AK240" s="44">
        <f t="shared" si="147"/>
        <v>4.3428564813359528E-2</v>
      </c>
      <c r="AL240" s="44">
        <f t="shared" si="148"/>
        <v>2.9411676887033399E-2</v>
      </c>
      <c r="AM240" s="44">
        <f t="shared" si="149"/>
        <v>0.39669426517412937</v>
      </c>
      <c r="AN240" s="44">
        <f t="shared" si="150"/>
        <v>0.39344859950248762</v>
      </c>
      <c r="AO240" s="44">
        <f t="shared" si="151"/>
        <v>0.25023449506534107</v>
      </c>
    </row>
    <row r="241" spans="1:53" ht="15.6" x14ac:dyDescent="0.25">
      <c r="A241" s="60"/>
      <c r="B241" t="s">
        <v>248</v>
      </c>
      <c r="C241" s="67">
        <v>1.6018569469999999</v>
      </c>
      <c r="D241" s="67">
        <v>0.38691896199999998</v>
      </c>
      <c r="E241" s="67">
        <v>1.2153375150000001</v>
      </c>
      <c r="F241" s="67">
        <v>0.52145105599999997</v>
      </c>
      <c r="G241" s="67">
        <v>1.4190150500000001</v>
      </c>
      <c r="H241" s="67">
        <v>0.86428183319999996</v>
      </c>
      <c r="I241" s="67">
        <v>1.2927556039999999</v>
      </c>
      <c r="J241" s="67">
        <v>1.3258210420000001</v>
      </c>
      <c r="K241" s="44">
        <f t="shared" si="152"/>
        <v>0.98638469023456166</v>
      </c>
      <c r="L241" s="44"/>
      <c r="N241">
        <v>1</v>
      </c>
      <c r="O241">
        <v>1</v>
      </c>
      <c r="P241">
        <v>1</v>
      </c>
      <c r="Q241">
        <v>1.02</v>
      </c>
      <c r="R241">
        <v>1</v>
      </c>
      <c r="S241">
        <v>1.05</v>
      </c>
      <c r="T241">
        <v>1</v>
      </c>
      <c r="U241">
        <v>1</v>
      </c>
      <c r="W241" s="44">
        <f t="shared" si="134"/>
        <v>1.6018569469999999</v>
      </c>
      <c r="X241" s="44">
        <f t="shared" si="135"/>
        <v>0.38691896199999998</v>
      </c>
      <c r="Y241" s="44">
        <f t="shared" si="136"/>
        <v>1.2153375150000001</v>
      </c>
      <c r="Z241" s="44">
        <f t="shared" si="137"/>
        <v>0.53188007711999996</v>
      </c>
      <c r="AA241" s="44">
        <f t="shared" si="138"/>
        <v>1.4190150500000001</v>
      </c>
      <c r="AB241" s="44">
        <f t="shared" si="139"/>
        <v>0.90749592485999997</v>
      </c>
      <c r="AC241" s="44">
        <f t="shared" si="140"/>
        <v>1.2927556039999999</v>
      </c>
      <c r="AD241" s="44">
        <f t="shared" si="141"/>
        <v>1.3258210420000001</v>
      </c>
      <c r="AF241" s="61" t="str">
        <f t="shared" si="142"/>
        <v>O68</v>
      </c>
      <c r="AG241" s="44">
        <f t="shared" si="143"/>
        <v>0.21943245849315068</v>
      </c>
      <c r="AH241" s="44">
        <f t="shared" si="144"/>
        <v>5.3002597534246576E-2</v>
      </c>
      <c r="AI241" s="44">
        <f t="shared" si="145"/>
        <v>0.16648459109589042</v>
      </c>
      <c r="AJ241" s="44">
        <f t="shared" si="146"/>
        <v>7.28602845369863E-2</v>
      </c>
      <c r="AK241" s="44">
        <f t="shared" si="147"/>
        <v>0.27878488212180746</v>
      </c>
      <c r="AL241" s="44">
        <f t="shared" si="148"/>
        <v>0.1782899655913556</v>
      </c>
      <c r="AM241" s="44">
        <f t="shared" si="149"/>
        <v>0.32158099601990048</v>
      </c>
      <c r="AN241" s="44">
        <f t="shared" si="150"/>
        <v>0.32980622935323389</v>
      </c>
      <c r="AO241" s="44">
        <f t="shared" si="151"/>
        <v>0.17395941998966791</v>
      </c>
    </row>
    <row r="242" spans="1:53" ht="15.6" x14ac:dyDescent="0.25">
      <c r="A242" s="57"/>
      <c r="B242" t="s">
        <v>249</v>
      </c>
      <c r="C242" s="67">
        <v>0.38546386360000001</v>
      </c>
      <c r="D242" s="67">
        <v>0.36319035290000001</v>
      </c>
      <c r="E242" s="67">
        <v>0.99472159149999995</v>
      </c>
      <c r="F242" s="67">
        <v>0.9541509748</v>
      </c>
      <c r="G242" s="67">
        <v>1.6617288589999999</v>
      </c>
      <c r="H242" s="67">
        <v>0.99369412660000001</v>
      </c>
      <c r="I242" s="67">
        <v>1.2797275779999999</v>
      </c>
      <c r="J242" s="67">
        <v>1.2263453010000001</v>
      </c>
      <c r="K242" s="44">
        <f t="shared" si="152"/>
        <v>1.0087368860149937</v>
      </c>
      <c r="N242">
        <v>1</v>
      </c>
      <c r="O242">
        <v>1</v>
      </c>
      <c r="P242">
        <v>1</v>
      </c>
      <c r="Q242">
        <v>1.02</v>
      </c>
      <c r="R242">
        <v>1</v>
      </c>
      <c r="S242">
        <v>1.05</v>
      </c>
      <c r="T242">
        <v>1</v>
      </c>
      <c r="U242">
        <v>1</v>
      </c>
      <c r="W242" s="44">
        <f t="shared" si="134"/>
        <v>0.38546386360000001</v>
      </c>
      <c r="X242" s="44">
        <f t="shared" si="135"/>
        <v>0.36319035290000001</v>
      </c>
      <c r="Y242" s="44">
        <f t="shared" si="136"/>
        <v>0.99472159149999995</v>
      </c>
      <c r="Z242" s="44">
        <f t="shared" si="137"/>
        <v>0.97323399429599999</v>
      </c>
      <c r="AA242" s="44">
        <f t="shared" si="138"/>
        <v>1.6617288589999999</v>
      </c>
      <c r="AB242" s="44">
        <f t="shared" si="139"/>
        <v>1.04337883293</v>
      </c>
      <c r="AC242" s="44">
        <f t="shared" si="140"/>
        <v>1.2797275779999999</v>
      </c>
      <c r="AD242" s="44">
        <f t="shared" si="141"/>
        <v>1.2263453010000001</v>
      </c>
      <c r="AF242" s="61" t="str">
        <f t="shared" si="142"/>
        <v>O69</v>
      </c>
      <c r="AG242" s="44">
        <f t="shared" si="143"/>
        <v>5.2803268986301374E-2</v>
      </c>
      <c r="AH242" s="44">
        <f t="shared" si="144"/>
        <v>4.9752103136986303E-2</v>
      </c>
      <c r="AI242" s="44">
        <f t="shared" si="145"/>
        <v>0.13626323171232876</v>
      </c>
      <c r="AJ242" s="44">
        <f t="shared" si="146"/>
        <v>0.13331972524602739</v>
      </c>
      <c r="AK242" s="44">
        <f t="shared" si="147"/>
        <v>0.32646932396856582</v>
      </c>
      <c r="AL242" s="44">
        <f t="shared" si="148"/>
        <v>0.2049860182573674</v>
      </c>
      <c r="AM242" s="44">
        <f t="shared" si="149"/>
        <v>0.31834019353233833</v>
      </c>
      <c r="AN242" s="44">
        <f t="shared" si="150"/>
        <v>0.30506102014925379</v>
      </c>
      <c r="AO242" s="44">
        <f t="shared" si="151"/>
        <v>0.17905209146457407</v>
      </c>
    </row>
    <row r="243" spans="1:53" ht="15.6" x14ac:dyDescent="0.25">
      <c r="A243" s="60"/>
      <c r="B243" t="s">
        <v>250</v>
      </c>
      <c r="C243" s="67">
        <v>0.67213863129999996</v>
      </c>
      <c r="D243" s="67">
        <v>0.58141535519999998</v>
      </c>
      <c r="E243" s="67">
        <v>0.65739482640000002</v>
      </c>
      <c r="F243" s="67">
        <v>0.73545151949999998</v>
      </c>
      <c r="G243" s="67">
        <v>1.9583148960000001</v>
      </c>
      <c r="H243" s="67">
        <v>1.3984423880000001</v>
      </c>
      <c r="I243" s="67">
        <v>1.007404685</v>
      </c>
      <c r="J243" s="67">
        <v>1.130945444</v>
      </c>
      <c r="K243" s="44">
        <f t="shared" si="152"/>
        <v>0.96998114710800531</v>
      </c>
      <c r="N243">
        <v>1</v>
      </c>
      <c r="O243">
        <v>1</v>
      </c>
      <c r="P243">
        <v>1</v>
      </c>
      <c r="Q243">
        <v>1.02</v>
      </c>
      <c r="R243">
        <v>1</v>
      </c>
      <c r="S243">
        <v>1.05</v>
      </c>
      <c r="T243">
        <v>1</v>
      </c>
      <c r="U243">
        <v>1</v>
      </c>
      <c r="W243" s="44">
        <f t="shared" si="134"/>
        <v>0.67213863129999996</v>
      </c>
      <c r="X243" s="44">
        <f t="shared" si="135"/>
        <v>0.58141535519999998</v>
      </c>
      <c r="Y243" s="44">
        <f t="shared" si="136"/>
        <v>0.65739482640000002</v>
      </c>
      <c r="Z243" s="44">
        <f t="shared" si="137"/>
        <v>0.75016054989000003</v>
      </c>
      <c r="AA243" s="44">
        <f t="shared" si="138"/>
        <v>1.9583148960000001</v>
      </c>
      <c r="AB243" s="44">
        <f t="shared" si="139"/>
        <v>1.4683645074000002</v>
      </c>
      <c r="AC243" s="44">
        <f t="shared" si="140"/>
        <v>1.007404685</v>
      </c>
      <c r="AD243" s="44">
        <f t="shared" si="141"/>
        <v>1.130945444</v>
      </c>
      <c r="AF243" s="61" t="str">
        <f t="shared" si="142"/>
        <v>O70</v>
      </c>
      <c r="AG243" s="44">
        <f t="shared" si="143"/>
        <v>9.2073785109589038E-2</v>
      </c>
      <c r="AH243" s="44">
        <f t="shared" si="144"/>
        <v>7.9645939068493155E-2</v>
      </c>
      <c r="AI243" s="44">
        <f t="shared" si="145"/>
        <v>9.0054085808219178E-2</v>
      </c>
      <c r="AJ243" s="44">
        <f t="shared" si="146"/>
        <v>0.1027617191630137</v>
      </c>
      <c r="AK243" s="44">
        <f t="shared" si="147"/>
        <v>0.384737700589391</v>
      </c>
      <c r="AL243" s="44">
        <f t="shared" si="148"/>
        <v>0.28848025685658157</v>
      </c>
      <c r="AM243" s="44">
        <f t="shared" si="149"/>
        <v>0.25059818034825876</v>
      </c>
      <c r="AN243" s="44">
        <f t="shared" si="150"/>
        <v>0.28132971243781096</v>
      </c>
      <c r="AO243" s="44">
        <f t="shared" si="151"/>
        <v>0.17475149895802197</v>
      </c>
      <c r="AR243" s="68" t="s">
        <v>257</v>
      </c>
      <c r="AS243" s="69" t="s">
        <v>12</v>
      </c>
      <c r="AT243" s="68" t="s">
        <v>13</v>
      </c>
      <c r="AU243" s="68" t="s">
        <v>14</v>
      </c>
      <c r="AV243" s="68" t="s">
        <v>15</v>
      </c>
      <c r="AW243" s="68" t="s">
        <v>16</v>
      </c>
      <c r="AX243" s="68" t="s">
        <v>17</v>
      </c>
      <c r="AY243" s="68" t="s">
        <v>20</v>
      </c>
      <c r="AZ243" s="68" t="s">
        <v>21</v>
      </c>
      <c r="BA243" s="68" t="s">
        <v>110</v>
      </c>
    </row>
    <row r="244" spans="1:53" ht="15.6" x14ac:dyDescent="0.25">
      <c r="A244" s="57"/>
      <c r="B244" t="s">
        <v>251</v>
      </c>
      <c r="C244" s="67">
        <v>3.1715803149999999</v>
      </c>
      <c r="D244" s="67">
        <v>2.634681225</v>
      </c>
      <c r="E244" s="67">
        <v>2.3594183919999998</v>
      </c>
      <c r="F244" s="67">
        <v>1.130504489</v>
      </c>
      <c r="G244" s="67">
        <v>0.78614377980000005</v>
      </c>
      <c r="H244" s="67">
        <v>0.65931671859999996</v>
      </c>
      <c r="I244" s="67">
        <v>1.968755722</v>
      </c>
      <c r="J244" s="67">
        <v>1.84301877</v>
      </c>
      <c r="K244" s="44">
        <f t="shared" si="152"/>
        <v>1.6917293075700128</v>
      </c>
      <c r="N244">
        <v>1</v>
      </c>
      <c r="O244">
        <v>1</v>
      </c>
      <c r="P244">
        <v>1</v>
      </c>
      <c r="Q244">
        <v>1.02</v>
      </c>
      <c r="R244">
        <v>1</v>
      </c>
      <c r="S244">
        <v>1.05</v>
      </c>
      <c r="T244">
        <v>1</v>
      </c>
      <c r="U244">
        <v>1</v>
      </c>
      <c r="W244" s="44">
        <f t="shared" si="134"/>
        <v>3.1715803149999999</v>
      </c>
      <c r="X244" s="44">
        <f t="shared" si="135"/>
        <v>2.634681225</v>
      </c>
      <c r="Y244" s="44">
        <f t="shared" si="136"/>
        <v>2.3594183919999998</v>
      </c>
      <c r="Z244" s="44">
        <f t="shared" si="137"/>
        <v>1.1531145787800001</v>
      </c>
      <c r="AA244" s="44">
        <f t="shared" si="138"/>
        <v>0.78614377980000005</v>
      </c>
      <c r="AB244" s="44">
        <f t="shared" si="139"/>
        <v>0.69228255452999998</v>
      </c>
      <c r="AC244" s="44">
        <f t="shared" si="140"/>
        <v>1.968755722</v>
      </c>
      <c r="AD244" s="44">
        <f t="shared" si="141"/>
        <v>1.84301877</v>
      </c>
      <c r="AF244" s="61" t="str">
        <f t="shared" si="142"/>
        <v>O71</v>
      </c>
      <c r="AG244" s="44">
        <f t="shared" si="143"/>
        <v>0.43446305684931508</v>
      </c>
      <c r="AH244" s="44">
        <f t="shared" si="144"/>
        <v>0.3609152363013699</v>
      </c>
      <c r="AI244" s="44">
        <f t="shared" si="145"/>
        <v>0.32320799890410956</v>
      </c>
      <c r="AJ244" s="44">
        <f t="shared" si="146"/>
        <v>0.15796090120273976</v>
      </c>
      <c r="AK244" s="44">
        <f t="shared" si="147"/>
        <v>0.15444867972495091</v>
      </c>
      <c r="AL244" s="44">
        <f t="shared" si="148"/>
        <v>0.13600836041846759</v>
      </c>
      <c r="AM244" s="44">
        <f t="shared" si="149"/>
        <v>0.48974022935323391</v>
      </c>
      <c r="AN244" s="44">
        <f t="shared" si="150"/>
        <v>0.458462380597015</v>
      </c>
      <c r="AO244" s="44">
        <f t="shared" si="151"/>
        <v>0.2750794768369465</v>
      </c>
      <c r="AR244" s="68" t="s">
        <v>255</v>
      </c>
      <c r="AS244" s="70">
        <f t="shared" ref="AS244:AZ244" si="153">AS108</f>
        <v>0</v>
      </c>
      <c r="AT244" s="70">
        <f t="shared" si="153"/>
        <v>0</v>
      </c>
      <c r="AU244" s="70">
        <f t="shared" si="153"/>
        <v>0</v>
      </c>
      <c r="AV244" s="70">
        <f t="shared" si="153"/>
        <v>0</v>
      </c>
      <c r="AW244" s="70">
        <f t="shared" si="153"/>
        <v>0</v>
      </c>
      <c r="AX244" s="70">
        <f t="shared" si="153"/>
        <v>0</v>
      </c>
      <c r="AY244" s="70">
        <f t="shared" si="153"/>
        <v>0</v>
      </c>
      <c r="AZ244" s="70">
        <f t="shared" si="153"/>
        <v>0</v>
      </c>
      <c r="BA244" s="70">
        <f>BA108</f>
        <v>0</v>
      </c>
    </row>
    <row r="245" spans="1:53" ht="15.6" x14ac:dyDescent="0.25">
      <c r="A245" s="60"/>
      <c r="B245" t="s">
        <v>252</v>
      </c>
      <c r="C245" s="67">
        <v>1.84937036</v>
      </c>
      <c r="D245" s="67">
        <v>0.80993509289999999</v>
      </c>
      <c r="E245" s="67">
        <v>1.6401249170000001</v>
      </c>
      <c r="F245" s="67">
        <v>2.0288643839999998</v>
      </c>
      <c r="G245" s="67">
        <v>1.095054507</v>
      </c>
      <c r="H245" s="67">
        <v>1.16016531</v>
      </c>
      <c r="I245" s="67">
        <v>1.633052468</v>
      </c>
      <c r="J245" s="67">
        <v>1.5522209410000001</v>
      </c>
      <c r="K245" s="44">
        <f t="shared" si="152"/>
        <v>1.5709640839166459</v>
      </c>
      <c r="L245" s="44"/>
      <c r="N245">
        <v>1</v>
      </c>
      <c r="O245">
        <v>1</v>
      </c>
      <c r="P245">
        <v>1</v>
      </c>
      <c r="Q245">
        <v>1.02</v>
      </c>
      <c r="R245">
        <v>1</v>
      </c>
      <c r="S245">
        <v>1.05</v>
      </c>
      <c r="T245">
        <v>1</v>
      </c>
      <c r="U245">
        <v>1</v>
      </c>
      <c r="W245" s="44">
        <f t="shared" ref="W245:W260" si="154">C245*N245</f>
        <v>1.84937036</v>
      </c>
      <c r="X245" s="44">
        <f t="shared" ref="X245:X260" si="155">D245*O245</f>
        <v>0.80993509289999999</v>
      </c>
      <c r="Y245" s="44">
        <f t="shared" ref="Y245:Y260" si="156">E245*P245</f>
        <v>1.6401249170000001</v>
      </c>
      <c r="Z245" s="44">
        <f t="shared" ref="Z245:Z260" si="157">F245*Q245</f>
        <v>2.0694416716799999</v>
      </c>
      <c r="AA245" s="44">
        <f t="shared" ref="AA245:AA260" si="158">G245*R245</f>
        <v>1.095054507</v>
      </c>
      <c r="AB245" s="44">
        <f t="shared" ref="AB245:AB260" si="159">H245*S245</f>
        <v>1.2181735755</v>
      </c>
      <c r="AC245" s="44">
        <f t="shared" ref="AC245:AC260" si="160">I245*T245</f>
        <v>1.633052468</v>
      </c>
      <c r="AD245" s="44">
        <f t="shared" ref="AD245:AD260" si="161">J245*U245</f>
        <v>1.5522209410000001</v>
      </c>
      <c r="AF245" s="61" t="str">
        <f t="shared" si="142"/>
        <v>O72</v>
      </c>
      <c r="AG245" s="44">
        <f t="shared" si="143"/>
        <v>0.25333840547945208</v>
      </c>
      <c r="AH245" s="44">
        <f t="shared" si="144"/>
        <v>0.11095001272602739</v>
      </c>
      <c r="AI245" s="44">
        <f t="shared" si="145"/>
        <v>0.22467464616438357</v>
      </c>
      <c r="AJ245" s="44">
        <f t="shared" si="146"/>
        <v>0.2834851605041096</v>
      </c>
      <c r="AK245" s="44">
        <f t="shared" si="147"/>
        <v>0.21513841001964637</v>
      </c>
      <c r="AL245" s="44">
        <f t="shared" si="148"/>
        <v>0.23932683212180747</v>
      </c>
      <c r="AM245" s="44">
        <f t="shared" si="149"/>
        <v>0.40623195721393041</v>
      </c>
      <c r="AN245" s="44">
        <f t="shared" si="150"/>
        <v>0.38612461218905481</v>
      </c>
      <c r="AO245" s="44">
        <f t="shared" si="151"/>
        <v>0.25877620630103876</v>
      </c>
      <c r="AR245" s="68" t="s">
        <v>256</v>
      </c>
      <c r="AS245" s="70">
        <f>AS238</f>
        <v>0</v>
      </c>
      <c r="AT245" s="70">
        <f t="shared" ref="AT245:BA245" si="162">AT238</f>
        <v>0</v>
      </c>
      <c r="AU245" s="70">
        <f t="shared" si="162"/>
        <v>0</v>
      </c>
      <c r="AV245" s="70">
        <f t="shared" si="162"/>
        <v>0</v>
      </c>
      <c r="AW245" s="70">
        <f t="shared" si="162"/>
        <v>0</v>
      </c>
      <c r="AX245" s="70">
        <f t="shared" si="162"/>
        <v>0</v>
      </c>
      <c r="AY245" s="70">
        <f t="shared" si="162"/>
        <v>0</v>
      </c>
      <c r="AZ245" s="70">
        <f t="shared" si="162"/>
        <v>0</v>
      </c>
      <c r="BA245" s="70">
        <f t="shared" si="162"/>
        <v>0</v>
      </c>
    </row>
    <row r="246" spans="1:53" ht="15.6" x14ac:dyDescent="0.25">
      <c r="A246" s="57"/>
      <c r="B246" t="s">
        <v>253</v>
      </c>
      <c r="C246" s="67">
        <v>0.79494911430000004</v>
      </c>
      <c r="D246" s="67">
        <v>0.5208027959</v>
      </c>
      <c r="E246" s="67">
        <v>0.45877531170000002</v>
      </c>
      <c r="F246" s="67">
        <v>1.5366522069999999</v>
      </c>
      <c r="G246" s="67">
        <v>1.1120822429999999</v>
      </c>
      <c r="H246" s="67">
        <v>1.259804964</v>
      </c>
      <c r="I246" s="67">
        <v>1.5325509310000001</v>
      </c>
      <c r="J246" s="67">
        <v>1.489226103</v>
      </c>
      <c r="K246" s="44">
        <f t="shared" si="152"/>
        <v>1.1069142166933927</v>
      </c>
      <c r="N246">
        <v>1</v>
      </c>
      <c r="O246">
        <v>1</v>
      </c>
      <c r="P246">
        <v>1</v>
      </c>
      <c r="Q246">
        <v>1.02</v>
      </c>
      <c r="R246">
        <v>1</v>
      </c>
      <c r="S246">
        <v>1.05</v>
      </c>
      <c r="T246">
        <v>1</v>
      </c>
      <c r="U246">
        <v>1</v>
      </c>
      <c r="W246" s="44">
        <f t="shared" si="154"/>
        <v>0.79494911430000004</v>
      </c>
      <c r="X246" s="44">
        <f t="shared" si="155"/>
        <v>0.5208027959</v>
      </c>
      <c r="Y246" s="44">
        <f t="shared" si="156"/>
        <v>0.45877531170000002</v>
      </c>
      <c r="Z246" s="44">
        <f t="shared" si="157"/>
        <v>1.5673852511399999</v>
      </c>
      <c r="AA246" s="44">
        <f t="shared" si="158"/>
        <v>1.1120822429999999</v>
      </c>
      <c r="AB246" s="44">
        <f t="shared" si="159"/>
        <v>1.3227952122</v>
      </c>
      <c r="AC246" s="44">
        <f t="shared" si="160"/>
        <v>1.5325509310000001</v>
      </c>
      <c r="AD246" s="44">
        <f t="shared" si="161"/>
        <v>1.489226103</v>
      </c>
      <c r="AF246" s="61" t="str">
        <f t="shared" ref="AF246:AF262" si="163">B246</f>
        <v>O73</v>
      </c>
      <c r="AG246" s="44">
        <f t="shared" ref="AG246:AG264" si="164">W246/W$8</f>
        <v>0.10889713894520549</v>
      </c>
      <c r="AH246" s="44">
        <f t="shared" ref="AH246:AH264" si="165">X246/X$8</f>
        <v>7.1342848753424656E-2</v>
      </c>
      <c r="AI246" s="44">
        <f t="shared" ref="AI246:AI264" si="166">Y246/Y$8</f>
        <v>6.2845933109589039E-2</v>
      </c>
      <c r="AJ246" s="44">
        <f t="shared" ref="AJ246:AJ264" si="167">Z246/Z$8</f>
        <v>0.21471030837534247</v>
      </c>
      <c r="AK246" s="44">
        <f t="shared" ref="AK246:AK264" si="168">AA246/AA$8</f>
        <v>0.21848374125736739</v>
      </c>
      <c r="AL246" s="44">
        <f t="shared" ref="AL246:AL264" si="169">AB246/AB$8</f>
        <v>0.25988118117878195</v>
      </c>
      <c r="AM246" s="44">
        <f t="shared" ref="AM246:AM264" si="170">AC246/AC$8</f>
        <v>0.38123157487562193</v>
      </c>
      <c r="AN246" s="44">
        <f t="shared" ref="AN246:AN264" si="171">AD246/AD$8</f>
        <v>0.37045425447761199</v>
      </c>
      <c r="AO246" s="44">
        <f t="shared" ref="AO246:AO264" si="172">SUMPRODUCT(AG246:AN246,$C$7:$J$7)/$K$7</f>
        <v>0.19401726625060131</v>
      </c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</row>
    <row r="247" spans="1:53" ht="15.6" x14ac:dyDescent="0.25">
      <c r="A247" s="60"/>
      <c r="B247" t="s">
        <v>254</v>
      </c>
      <c r="C247" s="67">
        <v>0.69406849150000005</v>
      </c>
      <c r="D247" s="67">
        <v>0.35000410679999999</v>
      </c>
      <c r="E247" s="67">
        <v>0.79825079440000002</v>
      </c>
      <c r="F247" s="67">
        <v>0.62064486740000002</v>
      </c>
      <c r="G247" s="67">
        <v>0.88142424819999998</v>
      </c>
      <c r="H247" s="67">
        <v>1.267955661</v>
      </c>
      <c r="I247" s="67">
        <v>1.038938999</v>
      </c>
      <c r="J247" s="67">
        <v>1.1364126210000001</v>
      </c>
      <c r="K247" s="44">
        <f t="shared" si="152"/>
        <v>0.78378780259148673</v>
      </c>
      <c r="N247">
        <v>1</v>
      </c>
      <c r="O247">
        <v>1</v>
      </c>
      <c r="P247">
        <v>1</v>
      </c>
      <c r="Q247">
        <v>1.02</v>
      </c>
      <c r="R247">
        <v>1</v>
      </c>
      <c r="S247">
        <v>1.05</v>
      </c>
      <c r="T247">
        <v>1</v>
      </c>
      <c r="U247">
        <v>1</v>
      </c>
      <c r="W247" s="44">
        <f t="shared" si="154"/>
        <v>0.69406849150000005</v>
      </c>
      <c r="X247" s="44">
        <f t="shared" si="155"/>
        <v>0.35000410679999999</v>
      </c>
      <c r="Y247" s="44">
        <f t="shared" si="156"/>
        <v>0.79825079440000002</v>
      </c>
      <c r="Z247" s="44">
        <f t="shared" si="157"/>
        <v>0.63305776474800002</v>
      </c>
      <c r="AA247" s="44">
        <f t="shared" si="158"/>
        <v>0.88142424819999998</v>
      </c>
      <c r="AB247" s="44">
        <f t="shared" si="159"/>
        <v>1.3313534440500001</v>
      </c>
      <c r="AC247" s="44">
        <f t="shared" si="160"/>
        <v>1.038938999</v>
      </c>
      <c r="AD247" s="44">
        <f t="shared" si="161"/>
        <v>1.1364126210000001</v>
      </c>
      <c r="AF247" s="61" t="str">
        <f t="shared" si="163"/>
        <v>O74</v>
      </c>
      <c r="AG247" s="44">
        <f t="shared" si="164"/>
        <v>9.5077875547945209E-2</v>
      </c>
      <c r="AH247" s="44">
        <f t="shared" si="165"/>
        <v>4.7945768054794523E-2</v>
      </c>
      <c r="AI247" s="44">
        <f t="shared" si="166"/>
        <v>0.10934942389041097</v>
      </c>
      <c r="AJ247" s="44">
        <f t="shared" si="167"/>
        <v>8.6720241746301371E-2</v>
      </c>
      <c r="AK247" s="44">
        <f t="shared" si="168"/>
        <v>0.17316782872298625</v>
      </c>
      <c r="AL247" s="44">
        <f t="shared" si="169"/>
        <v>0.26156256268172889</v>
      </c>
      <c r="AM247" s="44">
        <f t="shared" si="170"/>
        <v>0.25844253706467663</v>
      </c>
      <c r="AN247" s="44">
        <f t="shared" si="171"/>
        <v>0.28268970671641797</v>
      </c>
      <c r="AO247" s="44">
        <f t="shared" si="172"/>
        <v>0.13983631171896582</v>
      </c>
      <c r="AR247" s="68" t="s">
        <v>258</v>
      </c>
      <c r="AS247" s="69" t="s">
        <v>12</v>
      </c>
      <c r="AT247" s="68" t="s">
        <v>13</v>
      </c>
      <c r="AU247" s="68" t="s">
        <v>14</v>
      </c>
      <c r="AV247" s="68" t="s">
        <v>15</v>
      </c>
      <c r="AW247" s="68" t="s">
        <v>16</v>
      </c>
      <c r="AX247" s="68" t="s">
        <v>17</v>
      </c>
      <c r="AY247" s="68" t="s">
        <v>20</v>
      </c>
      <c r="AZ247" s="68" t="s">
        <v>21</v>
      </c>
      <c r="BA247" s="68" t="s">
        <v>110</v>
      </c>
    </row>
    <row r="248" spans="1:53" ht="15.6" x14ac:dyDescent="0.25">
      <c r="A248" s="57"/>
      <c r="B248" t="s">
        <v>259</v>
      </c>
      <c r="C248" s="67">
        <v>1.2984091040000001</v>
      </c>
      <c r="D248" s="67">
        <v>0.37040278319999997</v>
      </c>
      <c r="E248" s="67">
        <v>0.95996600389999998</v>
      </c>
      <c r="F248" s="67">
        <v>0.46580871940000002</v>
      </c>
      <c r="G248" s="67">
        <v>0.80467593670000004</v>
      </c>
      <c r="H248" s="67">
        <v>1.2483752969999999</v>
      </c>
      <c r="I248" s="67">
        <v>0.94396597149999995</v>
      </c>
      <c r="J248" s="67">
        <v>0.9826374054</v>
      </c>
      <c r="K248" s="44">
        <f t="shared" si="152"/>
        <v>0.78594686930686175</v>
      </c>
      <c r="N248">
        <v>1</v>
      </c>
      <c r="O248">
        <v>1</v>
      </c>
      <c r="P248">
        <v>1</v>
      </c>
      <c r="Q248">
        <v>1.02</v>
      </c>
      <c r="R248">
        <v>1</v>
      </c>
      <c r="S248">
        <v>1.05</v>
      </c>
      <c r="T248">
        <v>1</v>
      </c>
      <c r="U248">
        <v>1</v>
      </c>
      <c r="W248" s="44">
        <f t="shared" si="154"/>
        <v>1.2984091040000001</v>
      </c>
      <c r="X248" s="44">
        <f t="shared" si="155"/>
        <v>0.37040278319999997</v>
      </c>
      <c r="Y248" s="44">
        <f t="shared" si="156"/>
        <v>0.95996600389999998</v>
      </c>
      <c r="Z248" s="44">
        <f t="shared" si="157"/>
        <v>0.47512489378800005</v>
      </c>
      <c r="AA248" s="44">
        <f t="shared" si="158"/>
        <v>0.80467593670000004</v>
      </c>
      <c r="AB248" s="44">
        <f t="shared" si="159"/>
        <v>1.31079406185</v>
      </c>
      <c r="AC248" s="44">
        <f t="shared" si="160"/>
        <v>0.94396597149999995</v>
      </c>
      <c r="AD248" s="44">
        <f t="shared" si="161"/>
        <v>0.9826374054</v>
      </c>
      <c r="AF248" s="61" t="str">
        <f t="shared" si="163"/>
        <v>O75</v>
      </c>
      <c r="AG248" s="44">
        <f t="shared" si="164"/>
        <v>0.17786426082191784</v>
      </c>
      <c r="AH248" s="44">
        <f t="shared" si="165"/>
        <v>5.0740107287671234E-2</v>
      </c>
      <c r="AI248" s="44">
        <f t="shared" si="166"/>
        <v>0.13150219231506849</v>
      </c>
      <c r="AJ248" s="44">
        <f t="shared" si="167"/>
        <v>6.5085601888767136E-2</v>
      </c>
      <c r="AK248" s="44">
        <f t="shared" si="168"/>
        <v>0.15808957499017684</v>
      </c>
      <c r="AL248" s="44">
        <f t="shared" si="169"/>
        <v>0.25752339132612967</v>
      </c>
      <c r="AM248" s="44">
        <f t="shared" si="170"/>
        <v>0.23481740584577115</v>
      </c>
      <c r="AN248" s="44">
        <f t="shared" si="171"/>
        <v>0.24443716552238809</v>
      </c>
      <c r="AO248" s="44">
        <f t="shared" si="172"/>
        <v>0.13715081309470828</v>
      </c>
      <c r="AR248" s="68" t="s">
        <v>255</v>
      </c>
      <c r="AS248" s="70">
        <f t="shared" ref="AS248:BA248" si="173">AS109</f>
        <v>0</v>
      </c>
      <c r="AT248" s="70">
        <f t="shared" si="173"/>
        <v>0</v>
      </c>
      <c r="AU248" s="70">
        <f t="shared" si="173"/>
        <v>0</v>
      </c>
      <c r="AV248" s="70">
        <f t="shared" si="173"/>
        <v>0</v>
      </c>
      <c r="AW248" s="70">
        <f t="shared" si="173"/>
        <v>0</v>
      </c>
      <c r="AX248" s="70">
        <f t="shared" si="173"/>
        <v>0</v>
      </c>
      <c r="AY248" s="70">
        <f t="shared" si="173"/>
        <v>0</v>
      </c>
      <c r="AZ248" s="70">
        <f t="shared" si="173"/>
        <v>0</v>
      </c>
      <c r="BA248" s="70">
        <f t="shared" si="173"/>
        <v>0</v>
      </c>
    </row>
    <row r="249" spans="1:53" ht="15.6" x14ac:dyDescent="0.25">
      <c r="A249" s="60"/>
      <c r="B249" t="s">
        <v>260</v>
      </c>
      <c r="C249" s="67">
        <v>0.6675562263</v>
      </c>
      <c r="D249" s="67">
        <v>1.4377521280000001</v>
      </c>
      <c r="E249" s="67">
        <v>0.42013099790000002</v>
      </c>
      <c r="F249" s="67">
        <v>0.2169326842</v>
      </c>
      <c r="G249" s="67">
        <v>1.43032527</v>
      </c>
      <c r="H249" s="67">
        <v>1.0740962030000001</v>
      </c>
      <c r="I249" s="67">
        <v>0.59533333779999997</v>
      </c>
      <c r="J249" s="67">
        <v>0.62100362779999996</v>
      </c>
      <c r="K249" s="44">
        <f t="shared" si="152"/>
        <v>0.69486832261257936</v>
      </c>
      <c r="N249">
        <v>1</v>
      </c>
      <c r="O249">
        <v>1</v>
      </c>
      <c r="P249">
        <v>1</v>
      </c>
      <c r="Q249">
        <v>1.02</v>
      </c>
      <c r="R249">
        <v>1</v>
      </c>
      <c r="S249">
        <v>1.05</v>
      </c>
      <c r="T249">
        <v>1</v>
      </c>
      <c r="U249">
        <v>1</v>
      </c>
      <c r="W249" s="44">
        <f t="shared" si="154"/>
        <v>0.6675562263</v>
      </c>
      <c r="X249" s="44">
        <f t="shared" si="155"/>
        <v>1.4377521280000001</v>
      </c>
      <c r="Y249" s="44">
        <f t="shared" si="156"/>
        <v>0.42013099790000002</v>
      </c>
      <c r="Z249" s="44">
        <f t="shared" si="157"/>
        <v>0.221271337884</v>
      </c>
      <c r="AA249" s="44">
        <f t="shared" si="158"/>
        <v>1.43032527</v>
      </c>
      <c r="AB249" s="44">
        <f t="shared" si="159"/>
        <v>1.12780101315</v>
      </c>
      <c r="AC249" s="44">
        <f t="shared" si="160"/>
        <v>0.59533333779999997</v>
      </c>
      <c r="AD249" s="44">
        <f t="shared" si="161"/>
        <v>0.62100362779999996</v>
      </c>
      <c r="AF249" s="61" t="str">
        <f t="shared" si="163"/>
        <v>O76</v>
      </c>
      <c r="AG249" s="44">
        <f t="shared" si="164"/>
        <v>9.1446058397260277E-2</v>
      </c>
      <c r="AH249" s="44">
        <f t="shared" si="165"/>
        <v>0.19695234630136987</v>
      </c>
      <c r="AI249" s="44">
        <f t="shared" si="166"/>
        <v>5.7552191493150689E-2</v>
      </c>
      <c r="AJ249" s="44">
        <f t="shared" si="167"/>
        <v>3.0311142175890413E-2</v>
      </c>
      <c r="AK249" s="44">
        <f t="shared" si="168"/>
        <v>0.28100692927308446</v>
      </c>
      <c r="AL249" s="44">
        <f t="shared" si="169"/>
        <v>0.22157190828094303</v>
      </c>
      <c r="AM249" s="44">
        <f t="shared" si="170"/>
        <v>0.1480928700995025</v>
      </c>
      <c r="AN249" s="44">
        <f t="shared" si="171"/>
        <v>0.15447851437810947</v>
      </c>
      <c r="AO249" s="44">
        <f t="shared" si="172"/>
        <v>0.12281445014286327</v>
      </c>
      <c r="AR249" s="68" t="s">
        <v>256</v>
      </c>
      <c r="AS249" s="70">
        <f>AS239</f>
        <v>0</v>
      </c>
      <c r="AT249" s="70">
        <f t="shared" ref="AT249:BA249" si="174">AT239</f>
        <v>0</v>
      </c>
      <c r="AU249" s="70">
        <f t="shared" si="174"/>
        <v>0</v>
      </c>
      <c r="AV249" s="70">
        <f t="shared" si="174"/>
        <v>0</v>
      </c>
      <c r="AW249" s="70">
        <f t="shared" si="174"/>
        <v>0</v>
      </c>
      <c r="AX249" s="70">
        <f t="shared" si="174"/>
        <v>0</v>
      </c>
      <c r="AY249" s="70">
        <f t="shared" si="174"/>
        <v>0</v>
      </c>
      <c r="AZ249" s="70">
        <f t="shared" si="174"/>
        <v>0</v>
      </c>
      <c r="BA249" s="70">
        <f t="shared" si="174"/>
        <v>0</v>
      </c>
    </row>
    <row r="250" spans="1:53" ht="15.6" x14ac:dyDescent="0.25">
      <c r="A250" s="57"/>
      <c r="B250" t="s">
        <v>261</v>
      </c>
      <c r="C250" s="67">
        <v>2.099991798</v>
      </c>
      <c r="D250" s="67">
        <v>1.2857965229999999</v>
      </c>
      <c r="E250" s="67">
        <v>2.2898263929999998</v>
      </c>
      <c r="F250" s="67">
        <v>1.085878849</v>
      </c>
      <c r="G250" s="67">
        <v>1.077642679</v>
      </c>
      <c r="H250" s="67">
        <v>0.97657752040000001</v>
      </c>
      <c r="I250" s="67">
        <v>1.713962078</v>
      </c>
      <c r="J250" s="67">
        <v>1.6653162239999999</v>
      </c>
      <c r="K250" s="44">
        <f t="shared" si="152"/>
        <v>1.4823567007283356</v>
      </c>
      <c r="N250">
        <v>1</v>
      </c>
      <c r="O250">
        <v>1</v>
      </c>
      <c r="P250">
        <v>1</v>
      </c>
      <c r="Q250">
        <v>1.02</v>
      </c>
      <c r="R250">
        <v>1</v>
      </c>
      <c r="S250">
        <v>1.05</v>
      </c>
      <c r="T250">
        <v>1</v>
      </c>
      <c r="U250">
        <v>1</v>
      </c>
      <c r="W250" s="44">
        <f t="shared" si="154"/>
        <v>2.099991798</v>
      </c>
      <c r="X250" s="44">
        <f t="shared" si="155"/>
        <v>1.2857965229999999</v>
      </c>
      <c r="Y250" s="44">
        <f t="shared" si="156"/>
        <v>2.2898263929999998</v>
      </c>
      <c r="Z250" s="44">
        <f t="shared" si="157"/>
        <v>1.10759642598</v>
      </c>
      <c r="AA250" s="44">
        <f t="shared" si="158"/>
        <v>1.077642679</v>
      </c>
      <c r="AB250" s="44">
        <f t="shared" si="159"/>
        <v>1.02540639642</v>
      </c>
      <c r="AC250" s="44">
        <f t="shared" si="160"/>
        <v>1.713962078</v>
      </c>
      <c r="AD250" s="44">
        <f t="shared" si="161"/>
        <v>1.6653162239999999</v>
      </c>
      <c r="AF250" s="61" t="str">
        <f t="shared" si="163"/>
        <v>O77</v>
      </c>
      <c r="AG250" s="44">
        <f t="shared" si="164"/>
        <v>0.28767010931506848</v>
      </c>
      <c r="AH250" s="44">
        <f t="shared" si="165"/>
        <v>0.17613651</v>
      </c>
      <c r="AI250" s="44">
        <f t="shared" si="166"/>
        <v>0.31367484835616438</v>
      </c>
      <c r="AJ250" s="44">
        <f t="shared" si="167"/>
        <v>0.15172553780547945</v>
      </c>
      <c r="AK250" s="44">
        <f t="shared" si="168"/>
        <v>0.21171761866404715</v>
      </c>
      <c r="AL250" s="44">
        <f t="shared" si="169"/>
        <v>0.20145508770530451</v>
      </c>
      <c r="AM250" s="44">
        <f t="shared" si="170"/>
        <v>0.42635872587064683</v>
      </c>
      <c r="AN250" s="44">
        <f t="shared" si="171"/>
        <v>0.41425776716417911</v>
      </c>
      <c r="AO250" s="44">
        <f t="shared" si="172"/>
        <v>0.24655679897213736</v>
      </c>
    </row>
    <row r="251" spans="1:53" ht="15.6" x14ac:dyDescent="0.25">
      <c r="A251" s="60"/>
      <c r="B251" t="s">
        <v>262</v>
      </c>
      <c r="C251" s="67">
        <v>2.730075121</v>
      </c>
      <c r="D251" s="67">
        <v>2.7184386250000001</v>
      </c>
      <c r="E251" s="67">
        <v>3.7086517809999999</v>
      </c>
      <c r="F251" s="67">
        <v>1.7597280740000001</v>
      </c>
      <c r="G251" s="67">
        <v>3.7843957540000001E-2</v>
      </c>
      <c r="H251" s="67">
        <v>0.1823979318</v>
      </c>
      <c r="I251" s="67">
        <v>1.9103277919999999</v>
      </c>
      <c r="J251" s="67">
        <v>1.954794288</v>
      </c>
      <c r="K251" s="44">
        <f t="shared" si="152"/>
        <v>1.9516225408377892</v>
      </c>
      <c r="N251">
        <v>1</v>
      </c>
      <c r="O251">
        <v>1</v>
      </c>
      <c r="P251">
        <v>1</v>
      </c>
      <c r="Q251">
        <v>1.02</v>
      </c>
      <c r="R251">
        <v>1</v>
      </c>
      <c r="S251">
        <v>1.05</v>
      </c>
      <c r="T251">
        <v>1</v>
      </c>
      <c r="U251">
        <v>1</v>
      </c>
      <c r="W251" s="44">
        <f t="shared" si="154"/>
        <v>2.730075121</v>
      </c>
      <c r="X251" s="44">
        <f t="shared" si="155"/>
        <v>2.7184386250000001</v>
      </c>
      <c r="Y251" s="44">
        <f t="shared" si="156"/>
        <v>3.7086517809999999</v>
      </c>
      <c r="Z251" s="44">
        <f t="shared" si="157"/>
        <v>1.7949226354800001</v>
      </c>
      <c r="AA251" s="44">
        <f t="shared" si="158"/>
        <v>3.7843957540000001E-2</v>
      </c>
      <c r="AB251" s="44">
        <f t="shared" si="159"/>
        <v>0.19151782839000001</v>
      </c>
      <c r="AC251" s="44">
        <f t="shared" si="160"/>
        <v>1.9103277919999999</v>
      </c>
      <c r="AD251" s="44">
        <f t="shared" si="161"/>
        <v>1.954794288</v>
      </c>
      <c r="AF251" s="61" t="str">
        <f t="shared" si="163"/>
        <v>O78</v>
      </c>
      <c r="AG251" s="44">
        <f t="shared" si="164"/>
        <v>0.37398289328767126</v>
      </c>
      <c r="AH251" s="44">
        <f t="shared" si="165"/>
        <v>0.37238885273972605</v>
      </c>
      <c r="AI251" s="44">
        <f t="shared" si="166"/>
        <v>0.50803449054794525</v>
      </c>
      <c r="AJ251" s="44">
        <f t="shared" si="167"/>
        <v>0.24587981307945206</v>
      </c>
      <c r="AK251" s="44">
        <f t="shared" si="168"/>
        <v>7.4349621886051088E-3</v>
      </c>
      <c r="AL251" s="44">
        <f t="shared" si="169"/>
        <v>3.7626292414538312E-2</v>
      </c>
      <c r="AM251" s="44">
        <f t="shared" si="170"/>
        <v>0.47520591840796023</v>
      </c>
      <c r="AN251" s="44">
        <f t="shared" si="171"/>
        <v>0.48626723582089559</v>
      </c>
      <c r="AO251" s="44">
        <f t="shared" si="172"/>
        <v>0.3030931436772405</v>
      </c>
    </row>
    <row r="252" spans="1:53" ht="15.6" x14ac:dyDescent="0.25">
      <c r="A252" s="57"/>
      <c r="B252" t="s">
        <v>263</v>
      </c>
      <c r="C252" s="67">
        <v>1.5660189390000001</v>
      </c>
      <c r="D252" s="67">
        <v>1.3744412660000001</v>
      </c>
      <c r="E252" s="67">
        <v>3.207032442</v>
      </c>
      <c r="F252" s="67">
        <v>1.9244880680000001</v>
      </c>
      <c r="G252" s="67">
        <v>0.38291767240000002</v>
      </c>
      <c r="H252" s="67">
        <v>0.29241353269999998</v>
      </c>
      <c r="I252" s="67">
        <v>2.0196087359999999</v>
      </c>
      <c r="J252" s="67">
        <v>1.9508528709999999</v>
      </c>
      <c r="K252" s="44">
        <f t="shared" si="152"/>
        <v>1.7538715229548922</v>
      </c>
      <c r="N252">
        <v>1</v>
      </c>
      <c r="O252">
        <v>1</v>
      </c>
      <c r="P252">
        <v>1</v>
      </c>
      <c r="Q252">
        <v>1.02</v>
      </c>
      <c r="R252">
        <v>1</v>
      </c>
      <c r="S252">
        <v>1.05</v>
      </c>
      <c r="T252">
        <v>1</v>
      </c>
      <c r="U252">
        <v>1</v>
      </c>
      <c r="W252" s="44">
        <f t="shared" si="154"/>
        <v>1.5660189390000001</v>
      </c>
      <c r="X252" s="44">
        <f t="shared" si="155"/>
        <v>1.3744412660000001</v>
      </c>
      <c r="Y252" s="44">
        <f t="shared" si="156"/>
        <v>3.207032442</v>
      </c>
      <c r="Z252" s="44">
        <f t="shared" si="157"/>
        <v>1.96297782936</v>
      </c>
      <c r="AA252" s="44">
        <f t="shared" si="158"/>
        <v>0.38291767240000002</v>
      </c>
      <c r="AB252" s="44">
        <f t="shared" si="159"/>
        <v>0.30703420933499997</v>
      </c>
      <c r="AC252" s="44">
        <f t="shared" si="160"/>
        <v>2.0196087359999999</v>
      </c>
      <c r="AD252" s="44">
        <f t="shared" si="161"/>
        <v>1.9508528709999999</v>
      </c>
      <c r="AF252" s="61" t="str">
        <f t="shared" si="163"/>
        <v>O79</v>
      </c>
      <c r="AG252" s="44">
        <f t="shared" si="164"/>
        <v>0.21452314232876715</v>
      </c>
      <c r="AH252" s="44">
        <f t="shared" si="165"/>
        <v>0.18827962547945207</v>
      </c>
      <c r="AI252" s="44">
        <f t="shared" si="166"/>
        <v>0.43931951260273971</v>
      </c>
      <c r="AJ252" s="44">
        <f t="shared" si="167"/>
        <v>0.26890107251506851</v>
      </c>
      <c r="AK252" s="44">
        <f t="shared" si="168"/>
        <v>7.522940518664048E-2</v>
      </c>
      <c r="AL252" s="44">
        <f t="shared" si="169"/>
        <v>6.0321062737721018E-2</v>
      </c>
      <c r="AM252" s="44">
        <f t="shared" si="170"/>
        <v>0.50239023283582096</v>
      </c>
      <c r="AN252" s="44">
        <f t="shared" si="171"/>
        <v>0.48528678383084578</v>
      </c>
      <c r="AO252" s="44">
        <f t="shared" si="172"/>
        <v>0.28047043364856961</v>
      </c>
    </row>
    <row r="253" spans="1:53" ht="15.6" x14ac:dyDescent="0.25">
      <c r="A253" s="60"/>
      <c r="B253" t="s">
        <v>264</v>
      </c>
      <c r="C253" s="67">
        <v>0.135006398</v>
      </c>
      <c r="D253" s="67">
        <v>0.1000406444</v>
      </c>
      <c r="E253" s="67">
        <v>0.26567089560000001</v>
      </c>
      <c r="F253" s="67">
        <v>0.16658119860000001</v>
      </c>
      <c r="G253" s="67">
        <v>1.4511220460000001</v>
      </c>
      <c r="H253" s="67">
        <v>1.3841654059999999</v>
      </c>
      <c r="I253" s="67">
        <v>0.98515164850000003</v>
      </c>
      <c r="J253" s="67">
        <v>1.0240203139999999</v>
      </c>
      <c r="K253" s="44">
        <f t="shared" si="152"/>
        <v>0.56727457265362136</v>
      </c>
      <c r="N253">
        <v>1</v>
      </c>
      <c r="O253">
        <v>1</v>
      </c>
      <c r="P253">
        <v>1</v>
      </c>
      <c r="Q253">
        <v>1.02</v>
      </c>
      <c r="R253">
        <v>1</v>
      </c>
      <c r="S253">
        <v>1.05</v>
      </c>
      <c r="T253">
        <v>1</v>
      </c>
      <c r="U253">
        <v>1</v>
      </c>
      <c r="W253" s="44">
        <f t="shared" si="154"/>
        <v>0.135006398</v>
      </c>
      <c r="X253" s="44">
        <f t="shared" si="155"/>
        <v>0.1000406444</v>
      </c>
      <c r="Y253" s="44">
        <f t="shared" si="156"/>
        <v>0.26567089560000001</v>
      </c>
      <c r="Z253" s="44">
        <f t="shared" si="157"/>
        <v>0.16991282257200002</v>
      </c>
      <c r="AA253" s="44">
        <f t="shared" si="158"/>
        <v>1.4511220460000001</v>
      </c>
      <c r="AB253" s="44">
        <f t="shared" si="159"/>
        <v>1.4533736763</v>
      </c>
      <c r="AC253" s="44">
        <f t="shared" si="160"/>
        <v>0.98515164850000003</v>
      </c>
      <c r="AD253" s="44">
        <f t="shared" si="161"/>
        <v>1.0240203139999999</v>
      </c>
      <c r="AF253" s="61" t="str">
        <f t="shared" si="163"/>
        <v>O80</v>
      </c>
      <c r="AG253" s="44">
        <f t="shared" si="164"/>
        <v>1.8494027123287671E-2</v>
      </c>
      <c r="AH253" s="44">
        <f t="shared" si="165"/>
        <v>1.37041978630137E-2</v>
      </c>
      <c r="AI253" s="44">
        <f t="shared" si="166"/>
        <v>3.6393273369863019E-2</v>
      </c>
      <c r="AJ253" s="44">
        <f t="shared" si="167"/>
        <v>2.3275729119452058E-2</v>
      </c>
      <c r="AK253" s="44">
        <f t="shared" si="168"/>
        <v>0.2850927398821218</v>
      </c>
      <c r="AL253" s="44">
        <f t="shared" si="169"/>
        <v>0.28553510339882121</v>
      </c>
      <c r="AM253" s="44">
        <f t="shared" si="170"/>
        <v>0.24506259912935327</v>
      </c>
      <c r="AN253" s="44">
        <f t="shared" si="171"/>
        <v>0.25473142139303484</v>
      </c>
      <c r="AO253" s="44">
        <f t="shared" si="172"/>
        <v>0.11372737183104083</v>
      </c>
    </row>
    <row r="254" spans="1:53" ht="15.6" x14ac:dyDescent="0.25">
      <c r="A254" s="57"/>
      <c r="B254" t="s">
        <v>265</v>
      </c>
      <c r="C254" s="67">
        <v>2.5165061949999998</v>
      </c>
      <c r="D254" s="67">
        <v>0.97736710309999997</v>
      </c>
      <c r="E254" s="67">
        <v>0.63206475969999998</v>
      </c>
      <c r="F254" s="67">
        <v>0.31422409420000003</v>
      </c>
      <c r="G254" s="67">
        <v>1.3344521519999999</v>
      </c>
      <c r="H254" s="67">
        <v>1.4083836080000001</v>
      </c>
      <c r="I254" s="67">
        <v>0.66310787199999999</v>
      </c>
      <c r="J254" s="67">
        <v>0.76215535400000001</v>
      </c>
      <c r="K254" s="44">
        <f t="shared" si="152"/>
        <v>0.88414820753443468</v>
      </c>
      <c r="N254">
        <v>1</v>
      </c>
      <c r="O254">
        <v>1</v>
      </c>
      <c r="P254">
        <v>1</v>
      </c>
      <c r="Q254">
        <v>1.02</v>
      </c>
      <c r="R254">
        <v>1</v>
      </c>
      <c r="S254">
        <v>1.05</v>
      </c>
      <c r="T254">
        <v>1</v>
      </c>
      <c r="U254">
        <v>1</v>
      </c>
      <c r="W254" s="44">
        <f t="shared" si="154"/>
        <v>2.5165061949999998</v>
      </c>
      <c r="X254" s="44">
        <f t="shared" si="155"/>
        <v>0.97736710309999997</v>
      </c>
      <c r="Y254" s="44">
        <f t="shared" si="156"/>
        <v>0.63206475969999998</v>
      </c>
      <c r="Z254" s="44">
        <f t="shared" si="157"/>
        <v>0.32050857608400002</v>
      </c>
      <c r="AA254" s="44">
        <f t="shared" si="158"/>
        <v>1.3344521519999999</v>
      </c>
      <c r="AB254" s="44">
        <f t="shared" si="159"/>
        <v>1.4788027884000001</v>
      </c>
      <c r="AC254" s="44">
        <f t="shared" si="160"/>
        <v>0.66310787199999999</v>
      </c>
      <c r="AD254" s="44">
        <f t="shared" si="161"/>
        <v>0.76215535400000001</v>
      </c>
      <c r="AF254" s="61" t="str">
        <f t="shared" si="163"/>
        <v>O81</v>
      </c>
      <c r="AG254" s="44">
        <f t="shared" si="164"/>
        <v>0.34472687602739727</v>
      </c>
      <c r="AH254" s="44">
        <f t="shared" si="165"/>
        <v>0.13388590453424656</v>
      </c>
      <c r="AI254" s="44">
        <f t="shared" si="166"/>
        <v>8.6584213657534242E-2</v>
      </c>
      <c r="AJ254" s="44">
        <f t="shared" si="167"/>
        <v>4.3905284395068495E-2</v>
      </c>
      <c r="AK254" s="44">
        <f t="shared" si="168"/>
        <v>0.26217134616895871</v>
      </c>
      <c r="AL254" s="44">
        <f t="shared" si="169"/>
        <v>0.29053099968565821</v>
      </c>
      <c r="AM254" s="44">
        <f t="shared" si="170"/>
        <v>0.16495220696517415</v>
      </c>
      <c r="AN254" s="44">
        <f t="shared" si="171"/>
        <v>0.18959088407960201</v>
      </c>
      <c r="AO254" s="44">
        <f t="shared" si="172"/>
        <v>0.15135477571010267</v>
      </c>
    </row>
    <row r="255" spans="1:53" ht="15.6" x14ac:dyDescent="0.25">
      <c r="A255" s="60"/>
      <c r="B255" t="s">
        <v>266</v>
      </c>
      <c r="C255" s="67">
        <v>0.25294068460000002</v>
      </c>
      <c r="D255" s="67">
        <v>0.82280147079999999</v>
      </c>
      <c r="E255" s="67">
        <v>1.010809064</v>
      </c>
      <c r="F255" s="67">
        <v>0.27546644209999999</v>
      </c>
      <c r="G255" s="67">
        <v>1.1610308890000001</v>
      </c>
      <c r="H255" s="67">
        <v>1.0757117270000001</v>
      </c>
      <c r="I255" s="67">
        <v>0.5321353674</v>
      </c>
      <c r="J255" s="67">
        <v>0.49566790459999999</v>
      </c>
      <c r="K255" s="44">
        <f t="shared" si="152"/>
        <v>0.67290909953507005</v>
      </c>
      <c r="N255">
        <v>1</v>
      </c>
      <c r="O255">
        <v>1</v>
      </c>
      <c r="P255">
        <v>1</v>
      </c>
      <c r="Q255">
        <v>1.02</v>
      </c>
      <c r="R255">
        <v>1</v>
      </c>
      <c r="S255">
        <v>1.05</v>
      </c>
      <c r="T255">
        <v>1</v>
      </c>
      <c r="U255">
        <v>1</v>
      </c>
      <c r="W255" s="44">
        <f t="shared" si="154"/>
        <v>0.25294068460000002</v>
      </c>
      <c r="X255" s="44">
        <f t="shared" si="155"/>
        <v>0.82280147079999999</v>
      </c>
      <c r="Y255" s="44">
        <f t="shared" si="156"/>
        <v>1.010809064</v>
      </c>
      <c r="Z255" s="44">
        <f t="shared" si="157"/>
        <v>0.28097577094199999</v>
      </c>
      <c r="AA255" s="44">
        <f t="shared" si="158"/>
        <v>1.1610308890000001</v>
      </c>
      <c r="AB255" s="44">
        <f t="shared" si="159"/>
        <v>1.1294973133500001</v>
      </c>
      <c r="AC255" s="44">
        <f t="shared" si="160"/>
        <v>0.5321353674</v>
      </c>
      <c r="AD255" s="44">
        <f t="shared" si="161"/>
        <v>0.49566790459999999</v>
      </c>
      <c r="AF255" s="61" t="str">
        <f t="shared" si="163"/>
        <v>O82</v>
      </c>
      <c r="AG255" s="44">
        <f t="shared" si="164"/>
        <v>3.4649408849315069E-2</v>
      </c>
      <c r="AH255" s="44">
        <f t="shared" si="165"/>
        <v>0.11271253024657535</v>
      </c>
      <c r="AI255" s="44">
        <f t="shared" si="166"/>
        <v>0.13846699506849316</v>
      </c>
      <c r="AJ255" s="44">
        <f t="shared" si="167"/>
        <v>3.8489831635890412E-2</v>
      </c>
      <c r="AK255" s="44">
        <f t="shared" si="168"/>
        <v>0.22810037111984285</v>
      </c>
      <c r="AL255" s="44">
        <f t="shared" si="169"/>
        <v>0.22190516961689591</v>
      </c>
      <c r="AM255" s="44">
        <f t="shared" si="170"/>
        <v>0.13237198194029853</v>
      </c>
      <c r="AN255" s="44">
        <f t="shared" si="171"/>
        <v>0.12330047378109454</v>
      </c>
      <c r="AO255" s="44">
        <f t="shared" si="172"/>
        <v>0.11599398180888623</v>
      </c>
    </row>
    <row r="256" spans="1:53" ht="15.6" x14ac:dyDescent="0.25">
      <c r="B256" t="s">
        <v>267</v>
      </c>
      <c r="C256" s="67">
        <v>1.372578979</v>
      </c>
      <c r="D256" s="67">
        <v>1.4958614109999999</v>
      </c>
      <c r="E256" s="67">
        <v>1.6295126680000001</v>
      </c>
      <c r="F256" s="67">
        <v>0.60278445479999998</v>
      </c>
      <c r="G256" s="67">
        <v>1.394235253</v>
      </c>
      <c r="H256" s="67">
        <v>0.91290801759999995</v>
      </c>
      <c r="I256" s="67">
        <v>0.71605479719999998</v>
      </c>
      <c r="J256" s="67">
        <v>0.91984480619999998</v>
      </c>
      <c r="K256" s="44">
        <f t="shared" si="152"/>
        <v>1.0965457939174079</v>
      </c>
      <c r="N256">
        <v>1</v>
      </c>
      <c r="O256">
        <v>1</v>
      </c>
      <c r="P256">
        <v>1</v>
      </c>
      <c r="Q256">
        <v>1.02</v>
      </c>
      <c r="R256">
        <v>1</v>
      </c>
      <c r="S256">
        <v>1.05</v>
      </c>
      <c r="T256">
        <v>1</v>
      </c>
      <c r="U256">
        <v>1</v>
      </c>
      <c r="W256" s="44">
        <f t="shared" si="154"/>
        <v>1.372578979</v>
      </c>
      <c r="X256" s="44">
        <f t="shared" si="155"/>
        <v>1.4958614109999999</v>
      </c>
      <c r="Y256" s="44">
        <f t="shared" si="156"/>
        <v>1.6295126680000001</v>
      </c>
      <c r="Z256" s="44">
        <f t="shared" si="157"/>
        <v>0.61484014389599995</v>
      </c>
      <c r="AA256" s="44">
        <f t="shared" si="158"/>
        <v>1.394235253</v>
      </c>
      <c r="AB256" s="44">
        <f t="shared" si="159"/>
        <v>0.95855341847999997</v>
      </c>
      <c r="AC256" s="44">
        <f t="shared" si="160"/>
        <v>0.71605479719999998</v>
      </c>
      <c r="AD256" s="44">
        <f t="shared" si="161"/>
        <v>0.91984480619999998</v>
      </c>
      <c r="AF256" s="61" t="str">
        <f t="shared" si="163"/>
        <v>O83</v>
      </c>
      <c r="AG256" s="44">
        <f t="shared" si="164"/>
        <v>0.18802451767123288</v>
      </c>
      <c r="AH256" s="44">
        <f t="shared" si="165"/>
        <v>0.20491252205479452</v>
      </c>
      <c r="AI256" s="44">
        <f t="shared" si="166"/>
        <v>0.22322091342465755</v>
      </c>
      <c r="AJ256" s="44">
        <f t="shared" si="167"/>
        <v>8.4224677246027391E-2</v>
      </c>
      <c r="AK256" s="44">
        <f t="shared" si="168"/>
        <v>0.27391655265225934</v>
      </c>
      <c r="AL256" s="44">
        <f t="shared" si="169"/>
        <v>0.18832090736345777</v>
      </c>
      <c r="AM256" s="44">
        <f t="shared" si="170"/>
        <v>0.17812308388059703</v>
      </c>
      <c r="AN256" s="44">
        <f t="shared" si="171"/>
        <v>0.22881711597014928</v>
      </c>
      <c r="AO256" s="44">
        <f t="shared" si="172"/>
        <v>0.18065300380103899</v>
      </c>
    </row>
    <row r="257" spans="2:42" ht="15.6" x14ac:dyDescent="0.25">
      <c r="B257" t="s">
        <v>268</v>
      </c>
      <c r="C257" s="67">
        <v>1.796495795</v>
      </c>
      <c r="D257" s="67">
        <v>2.1533415319999998</v>
      </c>
      <c r="E257" s="67">
        <v>2.1011261939999999</v>
      </c>
      <c r="F257" s="67">
        <v>0.1501934379</v>
      </c>
      <c r="G257" s="67">
        <v>1.4774296280000001</v>
      </c>
      <c r="H257" s="67">
        <v>0.72985935209999997</v>
      </c>
      <c r="I257" s="67">
        <v>0.64990979429999995</v>
      </c>
      <c r="J257" s="67">
        <v>0.69712406400000004</v>
      </c>
      <c r="K257" s="44">
        <f t="shared" si="152"/>
        <v>1.1248962541377385</v>
      </c>
      <c r="N257">
        <v>1</v>
      </c>
      <c r="O257">
        <v>1</v>
      </c>
      <c r="P257">
        <v>1</v>
      </c>
      <c r="Q257">
        <v>1.02</v>
      </c>
      <c r="R257">
        <v>1</v>
      </c>
      <c r="S257">
        <v>1.05</v>
      </c>
      <c r="T257">
        <v>1</v>
      </c>
      <c r="U257">
        <v>1</v>
      </c>
      <c r="W257" s="44">
        <f t="shared" si="154"/>
        <v>1.796495795</v>
      </c>
      <c r="X257" s="44">
        <f t="shared" si="155"/>
        <v>2.1533415319999998</v>
      </c>
      <c r="Y257" s="44">
        <f t="shared" si="156"/>
        <v>2.1011261939999999</v>
      </c>
      <c r="Z257" s="44">
        <f t="shared" si="157"/>
        <v>0.15319730665799999</v>
      </c>
      <c r="AA257" s="44">
        <f t="shared" si="158"/>
        <v>1.4774296280000001</v>
      </c>
      <c r="AB257" s="44">
        <f t="shared" si="159"/>
        <v>0.76635231970499995</v>
      </c>
      <c r="AC257" s="44">
        <f t="shared" si="160"/>
        <v>0.64990979429999995</v>
      </c>
      <c r="AD257" s="44">
        <f t="shared" si="161"/>
        <v>0.69712406400000004</v>
      </c>
      <c r="AF257" s="61" t="str">
        <f t="shared" si="163"/>
        <v>O84</v>
      </c>
      <c r="AG257" s="44">
        <f t="shared" si="164"/>
        <v>0.24609531438356166</v>
      </c>
      <c r="AH257" s="44">
        <f t="shared" si="165"/>
        <v>0.29497829205479448</v>
      </c>
      <c r="AI257" s="44">
        <f t="shared" si="166"/>
        <v>0.28782550602739726</v>
      </c>
      <c r="AJ257" s="44">
        <f t="shared" si="167"/>
        <v>2.0985932418904108E-2</v>
      </c>
      <c r="AK257" s="44">
        <f t="shared" si="168"/>
        <v>0.29026122357563855</v>
      </c>
      <c r="AL257" s="44">
        <f t="shared" si="169"/>
        <v>0.15056037715225934</v>
      </c>
      <c r="AM257" s="44">
        <f t="shared" si="170"/>
        <v>0.1616691030597015</v>
      </c>
      <c r="AN257" s="44">
        <f t="shared" si="171"/>
        <v>0.17341394626865675</v>
      </c>
      <c r="AO257" s="44">
        <f t="shared" si="172"/>
        <v>0.18157709407518241</v>
      </c>
    </row>
    <row r="258" spans="2:42" ht="15.6" x14ac:dyDescent="0.25">
      <c r="B258" t="s">
        <v>269</v>
      </c>
      <c r="C258" s="67">
        <v>1.2042496199999999</v>
      </c>
      <c r="D258" s="67">
        <v>0.50414788720000003</v>
      </c>
      <c r="E258" s="67">
        <v>0.62476921080000003</v>
      </c>
      <c r="F258" s="67">
        <v>0.44282883410000001</v>
      </c>
      <c r="G258" s="67">
        <v>0.38806918260000001</v>
      </c>
      <c r="H258" s="67">
        <v>0.23453028500000001</v>
      </c>
      <c r="I258" s="67">
        <v>0.90550452469999998</v>
      </c>
      <c r="J258" s="67">
        <v>0.97320842740000002</v>
      </c>
      <c r="K258" s="44">
        <f t="shared" si="152"/>
        <v>0.59459339968653113</v>
      </c>
      <c r="N258">
        <v>1</v>
      </c>
      <c r="O258">
        <v>1</v>
      </c>
      <c r="P258">
        <v>1</v>
      </c>
      <c r="Q258">
        <v>1.02</v>
      </c>
      <c r="R258">
        <v>1</v>
      </c>
      <c r="S258">
        <v>1.05</v>
      </c>
      <c r="T258">
        <v>1</v>
      </c>
      <c r="U258">
        <v>1</v>
      </c>
      <c r="W258" s="44">
        <f t="shared" si="154"/>
        <v>1.2042496199999999</v>
      </c>
      <c r="X258" s="44">
        <f t="shared" si="155"/>
        <v>0.50414788720000003</v>
      </c>
      <c r="Y258" s="44">
        <f t="shared" si="156"/>
        <v>0.62476921080000003</v>
      </c>
      <c r="Z258" s="44">
        <f t="shared" si="157"/>
        <v>0.45168541078200003</v>
      </c>
      <c r="AA258" s="44">
        <f t="shared" si="158"/>
        <v>0.38806918260000001</v>
      </c>
      <c r="AB258" s="44">
        <f t="shared" si="159"/>
        <v>0.24625679925000002</v>
      </c>
      <c r="AC258" s="44">
        <f t="shared" si="160"/>
        <v>0.90550452469999998</v>
      </c>
      <c r="AD258" s="44">
        <f t="shared" si="161"/>
        <v>0.97320842740000002</v>
      </c>
      <c r="AF258" s="61" t="str">
        <f t="shared" si="163"/>
        <v>O85</v>
      </c>
      <c r="AG258" s="44">
        <f t="shared" si="164"/>
        <v>0.16496570136986299</v>
      </c>
      <c r="AH258" s="44">
        <f t="shared" si="165"/>
        <v>6.9061354410958911E-2</v>
      </c>
      <c r="AI258" s="44">
        <f t="shared" si="166"/>
        <v>8.5584823397260285E-2</v>
      </c>
      <c r="AJ258" s="44">
        <f t="shared" si="167"/>
        <v>6.1874713805753427E-2</v>
      </c>
      <c r="AK258" s="44">
        <f t="shared" si="168"/>
        <v>7.6241489705304519E-2</v>
      </c>
      <c r="AL258" s="44">
        <f t="shared" si="169"/>
        <v>4.8380510658153249E-2</v>
      </c>
      <c r="AM258" s="44">
        <f t="shared" si="170"/>
        <v>0.22524988176616917</v>
      </c>
      <c r="AN258" s="44">
        <f t="shared" si="171"/>
        <v>0.24209164860696519</v>
      </c>
      <c r="AO258" s="44">
        <f t="shared" si="172"/>
        <v>0.10227589448562878</v>
      </c>
    </row>
    <row r="259" spans="2:42" ht="15.6" x14ac:dyDescent="0.25">
      <c r="B259" t="s">
        <v>270</v>
      </c>
      <c r="C259" s="67">
        <v>1.955652237</v>
      </c>
      <c r="D259" s="67">
        <v>2.0368440149999998</v>
      </c>
      <c r="E259" s="67">
        <v>2.2332859040000002</v>
      </c>
      <c r="F259" s="67">
        <v>2.1704015729999999</v>
      </c>
      <c r="G259" s="67">
        <v>0.59390240910000003</v>
      </c>
      <c r="H259" s="67">
        <v>0.51676929000000005</v>
      </c>
      <c r="I259" s="67">
        <v>0.37337261440000002</v>
      </c>
      <c r="J259" s="67">
        <v>0.40157189970000001</v>
      </c>
      <c r="K259" s="44">
        <f t="shared" si="152"/>
        <v>1.5441538704411693</v>
      </c>
      <c r="N259">
        <v>1</v>
      </c>
      <c r="O259">
        <v>1</v>
      </c>
      <c r="P259">
        <v>1</v>
      </c>
      <c r="Q259">
        <v>1.02</v>
      </c>
      <c r="R259">
        <v>1</v>
      </c>
      <c r="S259">
        <v>1.05</v>
      </c>
      <c r="T259">
        <v>1</v>
      </c>
      <c r="U259">
        <v>1</v>
      </c>
      <c r="W259" s="44">
        <f t="shared" si="154"/>
        <v>1.955652237</v>
      </c>
      <c r="X259" s="44">
        <f t="shared" si="155"/>
        <v>2.0368440149999998</v>
      </c>
      <c r="Y259" s="44">
        <f t="shared" si="156"/>
        <v>2.2332859040000002</v>
      </c>
      <c r="Z259" s="44">
        <f t="shared" si="157"/>
        <v>2.2138096044599997</v>
      </c>
      <c r="AA259" s="44">
        <f t="shared" si="158"/>
        <v>0.59390240910000003</v>
      </c>
      <c r="AB259" s="44">
        <f t="shared" si="159"/>
        <v>0.54260775450000009</v>
      </c>
      <c r="AC259" s="44">
        <f t="shared" si="160"/>
        <v>0.37337261440000002</v>
      </c>
      <c r="AD259" s="44">
        <f t="shared" si="161"/>
        <v>0.40157189970000001</v>
      </c>
      <c r="AF259" s="61" t="str">
        <f t="shared" si="163"/>
        <v>O86</v>
      </c>
      <c r="AG259" s="44">
        <f t="shared" si="164"/>
        <v>0.26789756671232878</v>
      </c>
      <c r="AH259" s="44">
        <f t="shared" si="165"/>
        <v>0.27901972808219178</v>
      </c>
      <c r="AI259" s="44">
        <f t="shared" si="166"/>
        <v>0.30592957589041098</v>
      </c>
      <c r="AJ259" s="44">
        <f t="shared" si="167"/>
        <v>0.30326158965205474</v>
      </c>
      <c r="AK259" s="44">
        <f t="shared" si="168"/>
        <v>0.11668023754420433</v>
      </c>
      <c r="AL259" s="44">
        <f t="shared" si="169"/>
        <v>0.10660270225933205</v>
      </c>
      <c r="AM259" s="44">
        <f t="shared" si="170"/>
        <v>9.2878759800995039E-2</v>
      </c>
      <c r="AN259" s="44">
        <f t="shared" si="171"/>
        <v>9.9893507388059716E-2</v>
      </c>
      <c r="AO259" s="44">
        <f t="shared" si="172"/>
        <v>0.22727433142411313</v>
      </c>
    </row>
    <row r="260" spans="2:42" ht="15.6" x14ac:dyDescent="0.25">
      <c r="B260" t="s">
        <v>271</v>
      </c>
      <c r="C260" s="67">
        <v>2.002439737</v>
      </c>
      <c r="D260" s="67">
        <v>2.0279064180000002</v>
      </c>
      <c r="E260" s="67">
        <v>1.9890024660000001</v>
      </c>
      <c r="F260" s="67">
        <v>0.2308894098</v>
      </c>
      <c r="G260" s="67">
        <v>0.1450315714</v>
      </c>
      <c r="H260" s="67">
        <v>0.2093043923</v>
      </c>
      <c r="I260" s="67">
        <v>2.0490362640000002</v>
      </c>
      <c r="J260" s="67">
        <v>1.8281362059999999</v>
      </c>
      <c r="K260" s="44">
        <f t="shared" si="152"/>
        <v>1.1039035526166454</v>
      </c>
      <c r="N260">
        <v>1</v>
      </c>
      <c r="O260">
        <v>1</v>
      </c>
      <c r="P260">
        <v>1</v>
      </c>
      <c r="Q260">
        <v>1.02</v>
      </c>
      <c r="R260">
        <v>1</v>
      </c>
      <c r="S260">
        <v>1.05</v>
      </c>
      <c r="T260">
        <v>1</v>
      </c>
      <c r="U260">
        <v>1</v>
      </c>
      <c r="W260" s="44">
        <f t="shared" si="154"/>
        <v>2.002439737</v>
      </c>
      <c r="X260" s="44">
        <f t="shared" si="155"/>
        <v>2.0279064180000002</v>
      </c>
      <c r="Y260" s="44">
        <f t="shared" si="156"/>
        <v>1.9890024660000001</v>
      </c>
      <c r="Z260" s="44">
        <f t="shared" si="157"/>
        <v>0.23550719799600001</v>
      </c>
      <c r="AA260" s="44">
        <f t="shared" si="158"/>
        <v>0.1450315714</v>
      </c>
      <c r="AB260" s="44">
        <f t="shared" si="159"/>
        <v>0.21976961191500002</v>
      </c>
      <c r="AC260" s="44">
        <f t="shared" si="160"/>
        <v>2.0490362640000002</v>
      </c>
      <c r="AD260" s="44">
        <f t="shared" si="161"/>
        <v>1.8281362059999999</v>
      </c>
      <c r="AF260" s="61" t="str">
        <f t="shared" si="163"/>
        <v>O87</v>
      </c>
      <c r="AG260" s="44">
        <f t="shared" si="164"/>
        <v>0.27430681328767126</v>
      </c>
      <c r="AH260" s="44">
        <f t="shared" si="165"/>
        <v>0.2777953997260274</v>
      </c>
      <c r="AI260" s="44">
        <f t="shared" si="166"/>
        <v>0.27246609123287674</v>
      </c>
      <c r="AJ260" s="44">
        <f t="shared" si="167"/>
        <v>3.2261259999452056E-2</v>
      </c>
      <c r="AK260" s="44">
        <f t="shared" si="168"/>
        <v>2.849343249508841E-2</v>
      </c>
      <c r="AL260" s="44">
        <f t="shared" si="169"/>
        <v>4.3176741044204325E-2</v>
      </c>
      <c r="AM260" s="44">
        <f t="shared" si="170"/>
        <v>0.50971051343283591</v>
      </c>
      <c r="AN260" s="44">
        <f t="shared" si="171"/>
        <v>0.45476025024875627</v>
      </c>
      <c r="AO260" s="44">
        <f t="shared" si="172"/>
        <v>0.18695457070141755</v>
      </c>
    </row>
    <row r="261" spans="2:42" ht="15.6" x14ac:dyDescent="0.25">
      <c r="B261" t="s">
        <v>272</v>
      </c>
      <c r="C261" s="67">
        <v>2.4927453989999999</v>
      </c>
      <c r="D261" s="67">
        <v>2.4295918940000001</v>
      </c>
      <c r="E261" s="67">
        <v>1.1327806709999999</v>
      </c>
      <c r="F261" s="67">
        <v>2.6882739070000001</v>
      </c>
      <c r="G261" s="67">
        <v>0.79404419660000003</v>
      </c>
      <c r="H261" s="67">
        <v>0.2266613841</v>
      </c>
      <c r="I261" s="67">
        <v>1.403280616</v>
      </c>
      <c r="J261" s="67">
        <v>0.59947890039999996</v>
      </c>
      <c r="K261" s="44">
        <f t="shared" si="152"/>
        <v>1.680663264032402</v>
      </c>
      <c r="N261">
        <v>1</v>
      </c>
      <c r="O261">
        <v>1</v>
      </c>
      <c r="P261">
        <v>1</v>
      </c>
      <c r="Q261">
        <v>1.02</v>
      </c>
      <c r="R261">
        <v>1</v>
      </c>
      <c r="S261">
        <v>1.05</v>
      </c>
      <c r="T261">
        <v>1</v>
      </c>
      <c r="U261">
        <v>1</v>
      </c>
      <c r="W261" s="44">
        <f t="shared" ref="W261:W262" si="175">C261*N261</f>
        <v>2.4927453989999999</v>
      </c>
      <c r="X261" s="44">
        <f t="shared" ref="X261:X262" si="176">D261*O261</f>
        <v>2.4295918940000001</v>
      </c>
      <c r="Y261" s="44">
        <f t="shared" ref="Y261:Y262" si="177">E261*P261</f>
        <v>1.1327806709999999</v>
      </c>
      <c r="Z261" s="44">
        <f t="shared" ref="Z261:Z262" si="178">F261*Q261</f>
        <v>2.74203938514</v>
      </c>
      <c r="AA261" s="44">
        <f t="shared" ref="AA261:AA262" si="179">G261*R261</f>
        <v>0.79404419660000003</v>
      </c>
      <c r="AB261" s="44">
        <f t="shared" ref="AB261:AB262" si="180">H261*S261</f>
        <v>0.23799445330500002</v>
      </c>
      <c r="AC261" s="44">
        <f t="shared" ref="AC261:AC262" si="181">I261*T261</f>
        <v>1.403280616</v>
      </c>
      <c r="AD261" s="44">
        <f t="shared" ref="AD261:AD262" si="182">J261*U261</f>
        <v>0.59947890039999996</v>
      </c>
      <c r="AF261" s="61" t="str">
        <f t="shared" si="163"/>
        <v>O88</v>
      </c>
      <c r="AG261" s="44">
        <f t="shared" si="164"/>
        <v>0.34147197246575345</v>
      </c>
      <c r="AH261" s="44">
        <f t="shared" si="165"/>
        <v>0.33282080739726028</v>
      </c>
      <c r="AI261" s="44">
        <f t="shared" si="166"/>
        <v>0.15517543438356163</v>
      </c>
      <c r="AJ261" s="44">
        <f t="shared" si="167"/>
        <v>0.37562183358082191</v>
      </c>
      <c r="AK261" s="44">
        <f t="shared" si="168"/>
        <v>0.15600082447937133</v>
      </c>
      <c r="AL261" s="44">
        <f t="shared" si="169"/>
        <v>4.6757259981335959E-2</v>
      </c>
      <c r="AM261" s="44">
        <f t="shared" si="170"/>
        <v>0.34907478009950255</v>
      </c>
      <c r="AN261" s="44">
        <f t="shared" si="171"/>
        <v>0.14912410457711445</v>
      </c>
      <c r="AO261" s="44">
        <f t="shared" si="172"/>
        <v>0.25743180417334971</v>
      </c>
    </row>
    <row r="262" spans="2:42" ht="15.6" x14ac:dyDescent="0.25">
      <c r="B262" t="s">
        <v>273</v>
      </c>
      <c r="C262" s="67">
        <v>2.613806963</v>
      </c>
      <c r="D262" s="67">
        <v>2.6074614519999999</v>
      </c>
      <c r="E262" s="67">
        <v>1.8891288040000001</v>
      </c>
      <c r="F262" s="67">
        <v>2.8113634589999998</v>
      </c>
      <c r="G262" s="67">
        <v>1.3673949240000001</v>
      </c>
      <c r="H262" s="67">
        <v>1.311298847</v>
      </c>
      <c r="I262" s="67">
        <v>0.80620980259999997</v>
      </c>
      <c r="J262" s="67">
        <v>0.1553826928</v>
      </c>
      <c r="K262" s="44">
        <f t="shared" si="152"/>
        <v>1.9505417636866587</v>
      </c>
      <c r="L262" s="44">
        <f>AVERAGE(K139:K262)</f>
        <v>1.34686043782808</v>
      </c>
      <c r="N262">
        <v>1</v>
      </c>
      <c r="O262">
        <v>1</v>
      </c>
      <c r="P262">
        <v>1</v>
      </c>
      <c r="Q262">
        <v>1.02</v>
      </c>
      <c r="R262">
        <v>1</v>
      </c>
      <c r="S262">
        <v>1.05</v>
      </c>
      <c r="T262">
        <v>1</v>
      </c>
      <c r="U262">
        <v>1</v>
      </c>
      <c r="W262" s="44">
        <f t="shared" si="175"/>
        <v>2.613806963</v>
      </c>
      <c r="X262" s="44">
        <f t="shared" si="176"/>
        <v>2.6074614519999999</v>
      </c>
      <c r="Y262" s="44">
        <f t="shared" si="177"/>
        <v>1.8891288040000001</v>
      </c>
      <c r="Z262" s="44">
        <f t="shared" si="178"/>
        <v>2.8675907281799997</v>
      </c>
      <c r="AA262" s="44">
        <f t="shared" si="179"/>
        <v>1.3673949240000001</v>
      </c>
      <c r="AB262" s="44">
        <f t="shared" si="180"/>
        <v>1.37686378935</v>
      </c>
      <c r="AC262" s="44">
        <f t="shared" si="181"/>
        <v>0.80620980259999997</v>
      </c>
      <c r="AD262" s="44">
        <f t="shared" si="182"/>
        <v>0.1553826928</v>
      </c>
      <c r="AF262" s="61" t="str">
        <f t="shared" si="163"/>
        <v>O89</v>
      </c>
      <c r="AG262" s="44">
        <f t="shared" si="164"/>
        <v>0.35805574835616438</v>
      </c>
      <c r="AH262" s="44">
        <f t="shared" si="165"/>
        <v>0.35718650027397258</v>
      </c>
      <c r="AI262" s="44">
        <f t="shared" si="166"/>
        <v>0.25878476767123287</v>
      </c>
      <c r="AJ262" s="44">
        <f t="shared" si="167"/>
        <v>0.39282064769589037</v>
      </c>
      <c r="AK262" s="44">
        <f t="shared" si="168"/>
        <v>0.2686434035363458</v>
      </c>
      <c r="AL262" s="44">
        <f t="shared" si="169"/>
        <v>0.27050369142436148</v>
      </c>
      <c r="AM262" s="44">
        <f t="shared" si="170"/>
        <v>0.20054970213930351</v>
      </c>
      <c r="AN262" s="44">
        <f t="shared" si="171"/>
        <v>3.8652411144278608E-2</v>
      </c>
      <c r="AO262" s="44">
        <f t="shared" si="172"/>
        <v>0.29539107383007718</v>
      </c>
      <c r="AP262" s="76">
        <f>AVERAGE(AO139:AO262)</f>
        <v>0.21633437005749992</v>
      </c>
    </row>
    <row r="263" spans="2:42" x14ac:dyDescent="0.25">
      <c r="C263" s="67"/>
      <c r="D263" s="67"/>
      <c r="E263" s="67"/>
      <c r="F263" s="67"/>
      <c r="G263" s="67"/>
      <c r="H263" s="67"/>
      <c r="I263" s="67"/>
      <c r="J263" s="67"/>
      <c r="V263" t="s">
        <v>257</v>
      </c>
      <c r="W263" s="44">
        <f>AVERAGE(W139:W173)</f>
        <v>2.0817949371514288</v>
      </c>
      <c r="X263" s="44">
        <f t="shared" ref="X263:AD263" si="183">AVERAGE(X139:X173)</f>
        <v>2.0722376737257142</v>
      </c>
      <c r="Y263" s="44">
        <f t="shared" si="183"/>
        <v>1.6087594981514286</v>
      </c>
      <c r="Z263" s="44">
        <f t="shared" si="183"/>
        <v>1.6647861373957145</v>
      </c>
      <c r="AA263" s="44">
        <f t="shared" si="183"/>
        <v>0.84182705236285738</v>
      </c>
      <c r="AB263" s="44">
        <f t="shared" si="183"/>
        <v>0.71943831013199999</v>
      </c>
      <c r="AC263" s="44">
        <f t="shared" si="183"/>
        <v>1.3583984161710001</v>
      </c>
      <c r="AD263" s="44">
        <f t="shared" si="183"/>
        <v>1.169390558108</v>
      </c>
      <c r="AF263" s="44"/>
      <c r="AG263" s="44">
        <f t="shared" si="164"/>
        <v>0.28517738865088066</v>
      </c>
      <c r="AH263" s="44">
        <f t="shared" si="165"/>
        <v>0.28386817448297458</v>
      </c>
      <c r="AI263" s="44">
        <f t="shared" si="166"/>
        <v>0.22037801344540117</v>
      </c>
      <c r="AJ263" s="44">
        <f t="shared" si="167"/>
        <v>0.22805289553365951</v>
      </c>
      <c r="AK263" s="44">
        <f t="shared" si="168"/>
        <v>0.16538841893179909</v>
      </c>
      <c r="AL263" s="44">
        <f t="shared" si="169"/>
        <v>0.14134347939724951</v>
      </c>
      <c r="AM263" s="44">
        <f t="shared" si="170"/>
        <v>0.33791005377388067</v>
      </c>
      <c r="AN263" s="44">
        <f t="shared" si="171"/>
        <v>0.29089317365870648</v>
      </c>
      <c r="AO263" s="77">
        <f t="shared" si="172"/>
        <v>0.23519322088331335</v>
      </c>
    </row>
    <row r="264" spans="2:42" x14ac:dyDescent="0.25">
      <c r="V264" t="s">
        <v>258</v>
      </c>
      <c r="W264" s="44">
        <f>AVERAGE(W139:W262)</f>
        <v>1.7128642880763709</v>
      </c>
      <c r="X264" s="44">
        <f t="shared" ref="X264:AD264" si="184">AVERAGE(X139:X262)</f>
        <v>1.6740023098331451</v>
      </c>
      <c r="Y264" s="44">
        <f t="shared" si="184"/>
        <v>1.556145170512903</v>
      </c>
      <c r="Z264" s="44">
        <f t="shared" si="184"/>
        <v>1.5722806791080459</v>
      </c>
      <c r="AA264" s="44">
        <f t="shared" si="184"/>
        <v>0.80889812163870956</v>
      </c>
      <c r="AB264" s="44">
        <f t="shared" si="184"/>
        <v>0.71995109925180267</v>
      </c>
      <c r="AC264" s="44">
        <f t="shared" si="184"/>
        <v>1.2236747641837504</v>
      </c>
      <c r="AD264" s="44">
        <f t="shared" si="184"/>
        <v>1.1038280120981456</v>
      </c>
      <c r="AG264" s="44">
        <f t="shared" si="164"/>
        <v>0.2346389435721056</v>
      </c>
      <c r="AH264" s="44">
        <f t="shared" si="165"/>
        <v>0.22931538490865003</v>
      </c>
      <c r="AI264" s="44">
        <f t="shared" si="166"/>
        <v>0.21317057130313741</v>
      </c>
      <c r="AJ264" s="44">
        <f t="shared" si="167"/>
        <v>0.21538091494630768</v>
      </c>
      <c r="AK264" s="44">
        <f t="shared" si="168"/>
        <v>0.15891908087204509</v>
      </c>
      <c r="AL264" s="44">
        <f t="shared" si="169"/>
        <v>0.14144422382157223</v>
      </c>
      <c r="AM264" s="44">
        <f t="shared" si="170"/>
        <v>0.30439670750839565</v>
      </c>
      <c r="AN264" s="44">
        <f t="shared" si="171"/>
        <v>0.27458408261147904</v>
      </c>
      <c r="AO264" s="77">
        <f t="shared" si="172"/>
        <v>0.21633437005749995</v>
      </c>
    </row>
  </sheetData>
  <phoneticPr fontId="15" type="noConversion"/>
  <conditionalFormatting sqref="C9:J10">
    <cfRule type="cellIs" dxfId="8" priority="22" operator="greaterThan">
      <formula>4</formula>
    </cfRule>
  </conditionalFormatting>
  <conditionalFormatting sqref="C133:I133 L240:L241 C11:I107">
    <cfRule type="cellIs" dxfId="7" priority="21" operator="greaterThan">
      <formula>4</formula>
    </cfRule>
  </conditionalFormatting>
  <conditionalFormatting sqref="AF133">
    <cfRule type="cellIs" dxfId="6" priority="20" operator="greaterThan">
      <formula>4</formula>
    </cfRule>
  </conditionalFormatting>
  <conditionalFormatting sqref="C139:J140">
    <cfRule type="cellIs" dxfId="5" priority="16" operator="greaterThan">
      <formula>4</formula>
    </cfRule>
  </conditionalFormatting>
  <conditionalFormatting sqref="C141:I237">
    <cfRule type="cellIs" dxfId="4" priority="15" operator="greaterThan">
      <formula>4</formula>
    </cfRule>
  </conditionalFormatting>
  <conditionalFormatting sqref="C238:J238">
    <cfRule type="cellIs" dxfId="3" priority="9" operator="greaterThan">
      <formula>4</formula>
    </cfRule>
  </conditionalFormatting>
  <conditionalFormatting sqref="C239:J263">
    <cfRule type="cellIs" dxfId="2" priority="3" operator="greaterThan">
      <formula>4</formula>
    </cfRule>
  </conditionalFormatting>
  <conditionalFormatting sqref="C108:J132">
    <cfRule type="cellIs" dxfId="1" priority="2" operator="greaterThan">
      <formula>4</formula>
    </cfRule>
  </conditionalFormatting>
  <conditionalFormatting sqref="AF263">
    <cfRule type="cellIs" dxfId="0" priority="1" operator="greaterThan">
      <formula>4</formula>
    </cfRule>
  </conditionalFormatting>
  <pageMargins left="0.7" right="0.7" top="0.75" bottom="0.75" header="0.3" footer="0.3"/>
  <pageSetup paperSize="8" scale="59" fitToHeight="0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WindData</vt:lpstr>
      <vt:lpstr>RAMS</vt:lpstr>
      <vt:lpstr>CaseGeneration</vt:lpstr>
      <vt:lpstr>Testpoints</vt:lpstr>
      <vt:lpstr>IndoorCFD</vt:lpstr>
      <vt:lpstr>Sheet2</vt:lpstr>
      <vt:lpstr>Sheet1</vt:lpstr>
    </vt:vector>
  </TitlesOfParts>
  <Company>AECOM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Xin John</dc:creator>
  <cp:lastModifiedBy>Wang, Xin John</cp:lastModifiedBy>
  <cp:lastPrinted>2018-11-06T03:44:07Z</cp:lastPrinted>
  <dcterms:created xsi:type="dcterms:W3CDTF">2018-05-07T04:29:49Z</dcterms:created>
  <dcterms:modified xsi:type="dcterms:W3CDTF">2020-09-16T08:55:37Z</dcterms:modified>
</cp:coreProperties>
</file>